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5_trincee-drenanti-foglio\"/>
    </mc:Choice>
  </mc:AlternateContent>
  <xr:revisionPtr revIDLastSave="0" documentId="13_ncr:1_{02EA572E-009C-4254-8F19-FB6BD4D6C5AE}" xr6:coauthVersionLast="47" xr6:coauthVersionMax="47" xr10:uidLastSave="{00000000-0000-0000-0000-000000000000}"/>
  <bookViews>
    <workbookView xWindow="-120" yWindow="-120" windowWidth="29040" windowHeight="15720" activeTab="1" xr2:uid="{3C2956EA-F146-457E-A9D7-5BDD1E22F3AE}"/>
  </bookViews>
  <sheets>
    <sheet name="Credits" sheetId="1" r:id="rId1"/>
    <sheet name="DATI_INPUT" sheetId="2" r:id="rId2"/>
    <sheet name="ANALISI" sheetId="3" r:id="rId3"/>
    <sheet name="Abaco_Efficienza_n1" sheetId="8" r:id="rId4"/>
    <sheet name="Abaco_Efficienza_n1,5" sheetId="10" r:id="rId5"/>
    <sheet name="Abaco_Efficienza_n2,5" sheetId="11" r:id="rId6"/>
    <sheet name="Abaco_Efficienza_n4" sheetId="12" r:id="rId7"/>
    <sheet name="Abaco_Tempi_T50-n1" sheetId="13" r:id="rId8"/>
    <sheet name="Abaco_Tempi_T90-n1" sheetId="14" r:id="rId9"/>
    <sheet name="Abaco_Tempi_T50-n2,5" sheetId="15" r:id="rId10"/>
    <sheet name="Abaco_Tempi_T90-n2,5" sheetId="16" r:id="rId11"/>
    <sheet name="Abaco_Portata" sheetId="7" r:id="rId12"/>
    <sheet name="Confront_Tempi_T50-n2,5 (2)" sheetId="17" r:id="rId13"/>
    <sheet name="DB_Abachi" sheetId="4" state="hidden" r:id="rId14"/>
  </sheets>
  <functionGroups builtInGroupCount="19"/>
  <definedNames>
    <definedName name="_xleta.AND" hidden="1" xlm="1">#NAME?</definedName>
    <definedName name="_xleta.GAMMA" hidden="1" xlm="1">#NAME?</definedName>
    <definedName name="_xlnm.Print_Area" localSheetId="2">ANALISI!$B$1:$G$71</definedName>
    <definedName name="_xlnm.Print_Area" localSheetId="0">Credits!$B$2:$B$43</definedName>
    <definedName name="_xlnm.Print_Area" localSheetId="1">DATI_INPUT!$A$1:$D$33</definedName>
    <definedName name="beta">DATI_INPUT!$B$7</definedName>
    <definedName name="c_eff">DATI_INPUT!$B$16</definedName>
    <definedName name="d_cfg">DATI_INPUT!$B$29</definedName>
    <definedName name="D_piano">DATI_INPUT!$B$6</definedName>
    <definedName name="dw_dry">DATI_INPUT!$B$20</definedName>
    <definedName name="dw_init">DATI_INPUT!$B$18</definedName>
    <definedName name="dw_sat">DATI_INPUT!$B$19</definedName>
    <definedName name="Emod">DATI_INPUT!$B$12</definedName>
    <definedName name="F_short">DATI_INPUT!$B$24</definedName>
    <definedName name="F_target">DATI_INPUT!$B$23</definedName>
    <definedName name="gamma">DATI_INPUT!$B$8</definedName>
    <definedName name="gammaw">DATI_INPUT!$B$9</definedName>
    <definedName name="H0">DATI_INPUT!$B$5</definedName>
    <definedName name="kh">DATI_INPUT!$B$10</definedName>
    <definedName name="kv">DATI_INPUT!$B$11</definedName>
    <definedName name="mesi_target">DATI_INPUT!$B$25</definedName>
    <definedName name="n_cfg">DATI_INPUT!$B$28</definedName>
    <definedName name="n_tempi">DATI_INPUT!$B$30</definedName>
    <definedName name="nu">DATI_INPUT!$B$13</definedName>
    <definedName name="phi_eff">DATI_INPUT!$B$17</definedName>
    <definedName name="T50_target">DATI_INPUT!$B$25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31" i="3" l="1"/>
  <c r="C30" i="3"/>
  <c r="B31" i="17" a="1"/>
  <c r="B26" i="17" a="1"/>
  <c r="K22" i="17" a="1"/>
  <c r="E20" i="17" a="1"/>
  <c r="K17" i="17" a="1"/>
  <c r="E15" i="17" a="1"/>
  <c r="K12" i="17" a="1"/>
  <c r="E10" i="17" a="1"/>
  <c r="B6" i="17" a="1"/>
  <c r="E30" i="17" a="1"/>
  <c r="K25" i="17" a="1"/>
  <c r="H22" i="17" a="1"/>
  <c r="B20" i="17" a="1"/>
  <c r="B15" i="17" a="1"/>
  <c r="H12" i="17" a="1"/>
  <c r="B30" i="17" a="1"/>
  <c r="E22" i="17" a="1"/>
  <c r="K14" i="17" a="1"/>
  <c r="E29" i="17" a="1"/>
  <c r="B17" i="17" a="1"/>
  <c r="E7" i="17" a="1"/>
  <c r="H5" i="17" a="1"/>
  <c r="B29" i="17" a="1"/>
  <c r="K24" i="17" a="1"/>
  <c r="K21" i="17" a="1"/>
  <c r="E19" i="17" a="1"/>
  <c r="K16" i="17" a="1"/>
  <c r="E14" i="17" a="1"/>
  <c r="K11" i="17" a="1"/>
  <c r="E9" i="17" a="1"/>
  <c r="B5" i="17" a="1"/>
  <c r="B24" i="17" a="1"/>
  <c r="K18" i="17" a="1"/>
  <c r="K13" i="17" a="1"/>
  <c r="K8" i="17" a="1"/>
  <c r="B27" i="17" a="1"/>
  <c r="E18" i="17" a="1"/>
  <c r="E13" i="17" a="1"/>
  <c r="E8" i="17" a="1"/>
  <c r="E17" i="17" a="1"/>
  <c r="K9" i="17" a="1"/>
  <c r="H7" i="17" a="1"/>
  <c r="H19" i="17" a="1"/>
  <c r="H9" i="17" a="1"/>
  <c r="B7" i="17" a="1"/>
  <c r="E5" i="17" a="1"/>
  <c r="E28" i="17" a="1"/>
  <c r="E24" i="17" a="1"/>
  <c r="H21" i="17" a="1"/>
  <c r="B19" i="17" a="1"/>
  <c r="H16" i="17" a="1"/>
  <c r="B14" i="17" a="1"/>
  <c r="H11" i="17" a="1"/>
  <c r="B9" i="17" a="1"/>
  <c r="B28" i="17" a="1"/>
  <c r="E21" i="17" a="1"/>
  <c r="E16" i="17" a="1"/>
  <c r="E11" i="17" a="1"/>
  <c r="E23" i="17" a="1"/>
  <c r="K20" i="17" a="1"/>
  <c r="K15" i="17" a="1"/>
  <c r="K10" i="17" a="1"/>
  <c r="H6" i="17" a="1"/>
  <c r="B25" i="17" a="1"/>
  <c r="B12" i="17" a="1"/>
  <c r="E27" i="17" a="1"/>
  <c r="K23" i="17" a="1"/>
  <c r="B21" i="17" a="1"/>
  <c r="H18" i="17" a="1"/>
  <c r="B16" i="17" a="1"/>
  <c r="H13" i="17" a="1"/>
  <c r="B11" i="17" a="1"/>
  <c r="H8" i="17" a="1"/>
  <c r="K6" i="17" a="1"/>
  <c r="E26" i="17" a="1"/>
  <c r="B23" i="17" a="1"/>
  <c r="H20" i="17" a="1"/>
  <c r="B18" i="17" a="1"/>
  <c r="H15" i="17" a="1"/>
  <c r="B13" i="17" a="1"/>
  <c r="H10" i="17" a="1"/>
  <c r="B8" i="17" a="1"/>
  <c r="E6" i="17" a="1"/>
  <c r="H17" i="17" a="1"/>
  <c r="B10" i="17" a="1"/>
  <c r="K7" i="17" a="1"/>
  <c r="E25" i="17" a="1"/>
  <c r="K19" i="17" a="1"/>
  <c r="E12" i="17" a="1"/>
  <c r="K5" i="17" a="1"/>
  <c r="B22" i="17" a="1"/>
  <c r="H14" i="17" a="1"/>
  <c r="B5" i="15" a="1"/>
  <c r="B5" i="14" a="1"/>
  <c r="B5" i="13" a="1"/>
  <c r="E5" i="10" a="1"/>
  <c r="B5" i="12" a="1"/>
  <c r="H14" i="17" l="1"/>
  <c r="B22" i="17"/>
  <c r="K5" i="17"/>
  <c r="E12" i="17"/>
  <c r="K19" i="17"/>
  <c r="E25" i="17"/>
  <c r="K7" i="17"/>
  <c r="B10" i="17"/>
  <c r="H17" i="17"/>
  <c r="E6" i="17"/>
  <c r="B8" i="17"/>
  <c r="H10" i="17"/>
  <c r="B13" i="17"/>
  <c r="H15" i="17"/>
  <c r="B18" i="17"/>
  <c r="H20" i="17"/>
  <c r="B23" i="17"/>
  <c r="E26" i="17"/>
  <c r="K6" i="17"/>
  <c r="H8" i="17"/>
  <c r="B11" i="17"/>
  <c r="H13" i="17"/>
  <c r="B16" i="17"/>
  <c r="H18" i="17"/>
  <c r="B21" i="17"/>
  <c r="K23" i="17"/>
  <c r="E27" i="17"/>
  <c r="B12" i="17"/>
  <c r="B25" i="17"/>
  <c r="H6" i="17"/>
  <c r="K10" i="17"/>
  <c r="K15" i="17"/>
  <c r="K20" i="17"/>
  <c r="E23" i="17"/>
  <c r="E11" i="17"/>
  <c r="E16" i="17"/>
  <c r="E21" i="17"/>
  <c r="B28" i="17"/>
  <c r="B9" i="17"/>
  <c r="H11" i="17"/>
  <c r="B14" i="17"/>
  <c r="H16" i="17"/>
  <c r="B19" i="17"/>
  <c r="H21" i="17"/>
  <c r="E24" i="17"/>
  <c r="E28" i="17"/>
  <c r="E5" i="17"/>
  <c r="B7" i="17"/>
  <c r="H9" i="17"/>
  <c r="H19" i="17"/>
  <c r="H7" i="17"/>
  <c r="K9" i="17"/>
  <c r="E17" i="17"/>
  <c r="E8" i="17"/>
  <c r="E13" i="17"/>
  <c r="E18" i="17"/>
  <c r="B27" i="17"/>
  <c r="K8" i="17"/>
  <c r="K13" i="17"/>
  <c r="K18" i="17"/>
  <c r="B24" i="17"/>
  <c r="B5" i="17"/>
  <c r="E9" i="17"/>
  <c r="K11" i="17"/>
  <c r="E14" i="17"/>
  <c r="K16" i="17"/>
  <c r="E19" i="17"/>
  <c r="K21" i="17"/>
  <c r="K24" i="17"/>
  <c r="B29" i="17"/>
  <c r="H5" i="17"/>
  <c r="E7" i="17"/>
  <c r="B17" i="17"/>
  <c r="E29" i="17"/>
  <c r="K14" i="17"/>
  <c r="E22" i="17"/>
  <c r="B30" i="17"/>
  <c r="H12" i="17"/>
  <c r="B15" i="17"/>
  <c r="B20" i="17"/>
  <c r="H22" i="17"/>
  <c r="K25" i="17"/>
  <c r="E30" i="17"/>
  <c r="B6" i="17"/>
  <c r="E10" i="17"/>
  <c r="K12" i="17"/>
  <c r="E15" i="17"/>
  <c r="K17" i="17"/>
  <c r="E20" i="17"/>
  <c r="K22" i="17"/>
  <c r="B26" i="17"/>
  <c r="B31" i="17"/>
  <c r="B5" i="15"/>
  <c r="B5" i="14"/>
  <c r="B5" i="13"/>
  <c r="E5" i="10"/>
  <c r="B5" i="12"/>
  <c r="C68" i="3"/>
  <c r="B8" i="7"/>
  <c r="B13" i="7"/>
  <c r="E18" i="16" a="1"/>
  <c r="E25" i="16" a="1"/>
  <c r="H24" i="16" a="1"/>
  <c r="K16" i="16" a="1"/>
  <c r="B22" i="16" a="1"/>
  <c r="E8" i="16" a="1"/>
  <c r="E5" i="16" a="1"/>
  <c r="H15" i="16" a="1"/>
  <c r="K17" i="16" a="1"/>
  <c r="H12" i="16" a="1"/>
  <c r="B14" i="7"/>
  <c r="B15" i="7"/>
  <c r="E10" i="16" a="1"/>
  <c r="B5" i="16" a="1"/>
  <c r="H26" i="16" a="1"/>
  <c r="K10" i="16" a="1"/>
  <c r="B24" i="16" a="1"/>
  <c r="H6" i="16" a="1"/>
  <c r="H10" i="16" a="1"/>
  <c r="K15" i="16" a="1"/>
  <c r="B25" i="16" a="1"/>
  <c r="E11" i="16" a="1"/>
  <c r="H25" i="16" a="1"/>
  <c r="B16" i="7"/>
  <c r="E21" i="16" a="1"/>
  <c r="E22" i="16" a="1"/>
  <c r="B17" i="7"/>
  <c r="B18" i="7"/>
  <c r="B19" i="7"/>
  <c r="B20" i="7"/>
  <c r="E13" i="16" a="1"/>
  <c r="H29" i="16" a="1"/>
  <c r="K8" i="16" a="1"/>
  <c r="K12" i="16" a="1"/>
  <c r="B21" i="16" a="1"/>
  <c r="B23" i="16" a="1"/>
  <c r="H17" i="16" a="1"/>
  <c r="B21" i="7"/>
  <c r="E23" i="16" a="1"/>
  <c r="H23" i="16" a="1"/>
  <c r="K18" i="16" a="1"/>
  <c r="K6" i="16" a="1"/>
  <c r="B13" i="16" a="1"/>
  <c r="E15" i="16" a="1"/>
  <c r="K13" i="16" a="1"/>
  <c r="B6" i="16" a="1"/>
  <c r="K7" i="16" a="1"/>
  <c r="B10" i="16" a="1"/>
  <c r="B5" i="7"/>
  <c r="E24" i="16" a="1"/>
  <c r="H18" i="16" a="1"/>
  <c r="K21" i="16" a="1"/>
  <c r="K5" i="16" a="1"/>
  <c r="B14" i="16" a="1"/>
  <c r="H8" i="16" a="1"/>
  <c r="H5" i="16" a="1"/>
  <c r="H27" i="16" a="1"/>
  <c r="B6" i="7"/>
  <c r="B7" i="7"/>
  <c r="E16" i="16" a="1"/>
  <c r="H28" i="16" a="1"/>
  <c r="K14" i="16" a="1"/>
  <c r="B8" i="16" a="1"/>
  <c r="B7" i="16" a="1"/>
  <c r="H19" i="16" a="1"/>
  <c r="K23" i="16" a="1"/>
  <c r="E19" i="16" a="1"/>
  <c r="B26" i="16" a="1"/>
  <c r="K25" i="16" a="1"/>
  <c r="B9" i="7"/>
  <c r="E26" i="16" a="1"/>
  <c r="H21" i="16" a="1"/>
  <c r="K26" i="16" a="1"/>
  <c r="B18" i="16" a="1"/>
  <c r="B15" i="16" a="1"/>
  <c r="K19" i="16" a="1"/>
  <c r="B30" i="16" a="1"/>
  <c r="H13" i="16" a="1"/>
  <c r="E12" i="16" a="1"/>
  <c r="B10" i="7"/>
  <c r="E17" i="16" a="1"/>
  <c r="H16" i="16" a="1"/>
  <c r="K27" i="16" a="1"/>
  <c r="B28" i="16" a="1"/>
  <c r="B12" i="16" a="1"/>
  <c r="B19" i="16" a="1"/>
  <c r="B27" i="16" a="1"/>
  <c r="E7" i="16" a="1"/>
  <c r="K22" i="16" a="1"/>
  <c r="B11" i="7"/>
  <c r="E28" i="16" a="1"/>
  <c r="H9" i="16" a="1"/>
  <c r="K9" i="16" a="1"/>
  <c r="B9" i="16" a="1"/>
  <c r="B16" i="16" a="1"/>
  <c r="E9" i="16" a="1"/>
  <c r="E14" i="16" a="1"/>
  <c r="B11" i="16" a="1"/>
  <c r="H7" i="16" a="1"/>
  <c r="B12" i="7"/>
  <c r="B4" i="7"/>
  <c r="E29" i="16" a="1"/>
  <c r="H20" i="16" a="1"/>
  <c r="K20" i="16" a="1"/>
  <c r="B29" i="16" a="1"/>
  <c r="B31" i="15" a="1"/>
  <c r="H22" i="16" a="1"/>
  <c r="H14" i="16" a="1"/>
  <c r="E6" i="16" a="1"/>
  <c r="E20" i="16" a="1"/>
  <c r="H11" i="16" a="1"/>
  <c r="K11" i="16" a="1"/>
  <c r="B20" i="16" a="1"/>
  <c r="K24" i="16" a="1"/>
  <c r="B17" i="16" a="1"/>
  <c r="E27" i="16" a="1"/>
  <c r="K12" i="15" a="1"/>
  <c r="B27" i="13" a="1"/>
  <c r="K21" i="15" a="1"/>
  <c r="H22" i="15" a="1"/>
  <c r="E22" i="15" a="1"/>
  <c r="B6" i="15" a="1"/>
  <c r="E26" i="14" a="1"/>
  <c r="B26" i="14" a="1"/>
  <c r="B14" i="14" a="1"/>
  <c r="E22" i="13" a="1"/>
  <c r="B8" i="13" a="1"/>
  <c r="E25" i="12" a="1"/>
  <c r="H7" i="12" a="1"/>
  <c r="H11" i="12" a="1"/>
  <c r="H5" i="12" a="1"/>
  <c r="H6" i="12" a="1"/>
  <c r="K10" i="11" a="1"/>
  <c r="E18" i="11" a="1"/>
  <c r="E11" i="11" a="1"/>
  <c r="E19" i="11" a="1"/>
  <c r="H13" i="10" a="1"/>
  <c r="K16" i="15" a="1"/>
  <c r="B27" i="15" a="1"/>
  <c r="E10" i="15" a="1"/>
  <c r="B19" i="14" a="1"/>
  <c r="E13" i="13" a="1"/>
  <c r="E28" i="12" a="1"/>
  <c r="K5" i="12" a="1"/>
  <c r="B9" i="12" a="1"/>
  <c r="E24" i="12" a="1"/>
  <c r="B23" i="12" a="1"/>
  <c r="K8" i="11" a="1"/>
  <c r="B15" i="11" a="1"/>
  <c r="B24" i="11" a="1"/>
  <c r="E9" i="11" a="1"/>
  <c r="B22" i="12" a="1"/>
  <c r="E17" i="11" a="1"/>
  <c r="H20" i="10" a="1"/>
  <c r="K25" i="15" a="1"/>
  <c r="H9" i="15" a="1"/>
  <c r="B12" i="15" a="1"/>
  <c r="B26" i="15" a="1"/>
  <c r="B24" i="14" a="1"/>
  <c r="E24" i="13" a="1"/>
  <c r="B29" i="12" a="1"/>
  <c r="B6" i="12" a="1"/>
  <c r="B25" i="11" a="1"/>
  <c r="B14" i="11" a="1"/>
  <c r="B13" i="11" a="1"/>
  <c r="B17" i="14" a="1"/>
  <c r="H15" i="12" a="1"/>
  <c r="E16" i="15" a="1"/>
  <c r="H12" i="15" a="1"/>
  <c r="E17" i="14" a="1"/>
  <c r="B25" i="14" a="1"/>
  <c r="B20" i="13" a="1"/>
  <c r="H22" i="10" a="1"/>
  <c r="E8" i="11" a="1"/>
  <c r="B29" i="15" a="1"/>
  <c r="E19" i="14" a="1"/>
  <c r="H19" i="12" a="1"/>
  <c r="K15" i="11" a="1"/>
  <c r="E6" i="13" a="1"/>
  <c r="H13" i="11" a="1"/>
  <c r="K15" i="15" a="1"/>
  <c r="H10" i="15" a="1"/>
  <c r="B22" i="15" a="1"/>
  <c r="B15" i="15" a="1"/>
  <c r="E27" i="14" a="1"/>
  <c r="B10" i="14" a="1"/>
  <c r="B8" i="14" a="1"/>
  <c r="E23" i="13" a="1"/>
  <c r="B12" i="13" a="1"/>
  <c r="E26" i="12" a="1"/>
  <c r="B26" i="12" a="1"/>
  <c r="H23" i="12" a="1"/>
  <c r="B14" i="12" a="1"/>
  <c r="E6" i="12" a="1"/>
  <c r="K7" i="11" a="1"/>
  <c r="H11" i="11" a="1"/>
  <c r="H20" i="11" a="1"/>
  <c r="B8" i="11" a="1"/>
  <c r="H12" i="10" a="1"/>
  <c r="B28" i="15" a="1"/>
  <c r="K20" i="15" a="1"/>
  <c r="H8" i="15" a="1"/>
  <c r="B17" i="15" a="1"/>
  <c r="E14" i="15" a="1"/>
  <c r="E28" i="14" a="1"/>
  <c r="B11" i="14" a="1"/>
  <c r="B20" i="14" a="1"/>
  <c r="E14" i="13" a="1"/>
  <c r="B13" i="13" a="1"/>
  <c r="E27" i="12" a="1"/>
  <c r="H13" i="12" a="1"/>
  <c r="B21" i="12" a="1"/>
  <c r="K17" i="12" a="1"/>
  <c r="K6" i="11" a="1"/>
  <c r="H23" i="11" a="1"/>
  <c r="B28" i="12" a="1"/>
  <c r="E21" i="11" a="1"/>
  <c r="H9" i="12" a="1"/>
  <c r="H21" i="11" a="1"/>
  <c r="B16" i="11" a="1"/>
  <c r="H23" i="10" a="1"/>
  <c r="B15" i="13" a="1"/>
  <c r="E18" i="12" a="1"/>
  <c r="H10" i="10" a="1"/>
  <c r="B26" i="13" a="1"/>
  <c r="B17" i="12" a="1"/>
  <c r="H8" i="12" a="1"/>
  <c r="E8" i="12" a="1"/>
  <c r="B8" i="12" a="1"/>
  <c r="K12" i="11" a="1"/>
  <c r="H10" i="11" a="1"/>
  <c r="H22" i="11" a="1"/>
  <c r="H11" i="10" a="1"/>
  <c r="E30" i="14" a="1"/>
  <c r="B21" i="13" a="1"/>
  <c r="B24" i="12" a="1"/>
  <c r="B19" i="11" a="1"/>
  <c r="B30" i="15" a="1"/>
  <c r="K24" i="15" a="1"/>
  <c r="E23" i="15" a="1"/>
  <c r="B7" i="15" a="1"/>
  <c r="B11" i="15" a="1"/>
  <c r="E20" i="14" a="1"/>
  <c r="E15" i="13" a="1"/>
  <c r="E25" i="13" a="1"/>
  <c r="H17" i="12" a="1"/>
  <c r="B21" i="11" a="1"/>
  <c r="K5" i="15" a="1"/>
  <c r="K11" i="15" a="1"/>
  <c r="E8" i="15" a="1"/>
  <c r="E5" i="15" a="1"/>
  <c r="E25" i="15" a="1"/>
  <c r="E11" i="14" a="1"/>
  <c r="B18" i="14" a="1"/>
  <c r="E16" i="13" a="1"/>
  <c r="E27" i="13" a="1"/>
  <c r="B7" i="13" a="1"/>
  <c r="H22" i="12" a="1"/>
  <c r="H14" i="12" a="1"/>
  <c r="B18" i="12" a="1"/>
  <c r="E15" i="12" a="1"/>
  <c r="E24" i="11" a="1"/>
  <c r="B27" i="11" a="1"/>
  <c r="B18" i="11" a="1"/>
  <c r="E7" i="11" a="1"/>
  <c r="H5" i="11" a="1"/>
  <c r="H6" i="10" a="1"/>
  <c r="K13" i="15" a="1"/>
  <c r="H17" i="15" a="1"/>
  <c r="E27" i="15" a="1"/>
  <c r="E21" i="15" a="1"/>
  <c r="E20" i="15" a="1"/>
  <c r="E14" i="14" a="1"/>
  <c r="B12" i="12" a="1"/>
  <c r="B13" i="12" a="1"/>
  <c r="E10" i="12" a="1"/>
  <c r="B28" i="11" a="1"/>
  <c r="H14" i="11" a="1"/>
  <c r="B5" i="11" a="1"/>
  <c r="H24" i="10" a="1"/>
  <c r="H21" i="10" a="1"/>
  <c r="H7" i="15" a="1"/>
  <c r="B9" i="14" a="1"/>
  <c r="E26" i="13" a="1"/>
  <c r="E10" i="13" a="1"/>
  <c r="B10" i="13" a="1"/>
  <c r="B20" i="12" a="1"/>
  <c r="E22" i="11" a="1"/>
  <c r="E7" i="15" a="1"/>
  <c r="E15" i="15" a="1"/>
  <c r="B30" i="14" a="1"/>
  <c r="E17" i="13" a="1"/>
  <c r="K21" i="11" a="1"/>
  <c r="H25" i="10" a="1"/>
  <c r="K22" i="15" a="1"/>
  <c r="K22" i="12" a="1"/>
  <c r="E22" i="8" a="1"/>
  <c r="K10" i="15" a="1"/>
  <c r="H16" i="15" a="1"/>
  <c r="B24" i="15" a="1"/>
  <c r="E6" i="15" a="1"/>
  <c r="B20" i="15" a="1"/>
  <c r="E21" i="14" a="1"/>
  <c r="B21" i="14" a="1"/>
  <c r="E7" i="13" a="1"/>
  <c r="E5" i="13" a="1"/>
  <c r="B23" i="13" a="1"/>
  <c r="B15" i="12" a="1"/>
  <c r="E7" i="12" a="1"/>
  <c r="K12" i="12" a="1"/>
  <c r="E21" i="12" a="1"/>
  <c r="K11" i="11" a="1"/>
  <c r="H15" i="11" a="1"/>
  <c r="H17" i="11" a="1"/>
  <c r="B7" i="11" a="1"/>
  <c r="H19" i="10" a="1"/>
  <c r="K10" i="12" a="1"/>
  <c r="K19" i="15" a="1"/>
  <c r="H6" i="15" a="1"/>
  <c r="E29" i="15" a="1"/>
  <c r="B25" i="15" a="1"/>
  <c r="E19" i="15" a="1"/>
  <c r="E6" i="14" a="1"/>
  <c r="B12" i="14" a="1"/>
  <c r="E8" i="13" a="1"/>
  <c r="B24" i="13" a="1"/>
  <c r="H12" i="12" a="1"/>
  <c r="B25" i="12" a="1"/>
  <c r="B7" i="12" a="1"/>
  <c r="K18" i="12" a="1"/>
  <c r="K19" i="11" a="1"/>
  <c r="E12" i="11" a="1"/>
  <c r="E14" i="11" a="1"/>
  <c r="E23" i="11" a="1"/>
  <c r="H9" i="10" a="1"/>
  <c r="B19" i="12" a="1"/>
  <c r="B9" i="11" a="1"/>
  <c r="B11" i="11" a="1"/>
  <c r="H16" i="11" a="1"/>
  <c r="H18" i="10" a="1"/>
  <c r="B31" i="14" a="1"/>
  <c r="E5" i="12" a="1"/>
  <c r="K9" i="15" a="1"/>
  <c r="H15" i="15" a="1"/>
  <c r="E18" i="15" a="1"/>
  <c r="E24" i="15" a="1"/>
  <c r="B9" i="15" a="1"/>
  <c r="E16" i="14" a="1"/>
  <c r="B23" i="14" a="1"/>
  <c r="E18" i="13" a="1"/>
  <c r="B18" i="13" a="1"/>
  <c r="B16" i="13" a="1"/>
  <c r="B10" i="12" a="1"/>
  <c r="K21" i="12" a="1"/>
  <c r="E16" i="12" a="1"/>
  <c r="K9" i="11" a="1"/>
  <c r="E9" i="15" a="1"/>
  <c r="K26" i="12" a="1"/>
  <c r="K14" i="11" a="1"/>
  <c r="K14" i="12" a="1"/>
  <c r="H19" i="11" a="1"/>
  <c r="K18" i="15" a="1"/>
  <c r="H5" i="15" a="1"/>
  <c r="E13" i="15" a="1"/>
  <c r="B14" i="15" a="1"/>
  <c r="E8" i="14" a="1"/>
  <c r="E7" i="14" a="1"/>
  <c r="B15" i="14" a="1"/>
  <c r="E28" i="13" a="1"/>
  <c r="B9" i="13" a="1"/>
  <c r="B17" i="13" a="1"/>
  <c r="K7" i="12" a="1"/>
  <c r="E19" i="12" a="1"/>
  <c r="K13" i="12" a="1"/>
  <c r="K18" i="11" a="1"/>
  <c r="B6" i="11" a="1"/>
  <c r="H7" i="11" a="1"/>
  <c r="B10" i="11" a="1"/>
  <c r="H8" i="10" a="1"/>
  <c r="H19" i="15" a="1"/>
  <c r="B8" i="15" a="1"/>
  <c r="B10" i="15" a="1"/>
  <c r="E29" i="14" a="1"/>
  <c r="K24" i="12" a="1"/>
  <c r="E23" i="12" a="1"/>
  <c r="K5" i="11" a="1"/>
  <c r="E6" i="11" a="1"/>
  <c r="H16" i="10" a="1"/>
  <c r="E10" i="14" a="1"/>
  <c r="B25" i="13" a="1"/>
  <c r="K20" i="12" a="1"/>
  <c r="B17" i="11" a="1"/>
  <c r="H9" i="11" a="1"/>
  <c r="K8" i="15" a="1"/>
  <c r="H21" i="15" a="1"/>
  <c r="B23" i="15" a="1"/>
  <c r="E26" i="15" a="1"/>
  <c r="E12" i="14" a="1"/>
  <c r="E18" i="14" a="1"/>
  <c r="B7" i="14" a="1"/>
  <c r="E9" i="13" a="1"/>
  <c r="B19" i="13" a="1"/>
  <c r="K23" i="12" a="1"/>
  <c r="B27" i="12" a="1"/>
  <c r="K16" i="12" a="1"/>
  <c r="B16" i="12" a="1"/>
  <c r="E11" i="12" a="1"/>
  <c r="K17" i="11" a="1"/>
  <c r="B26" i="11" a="1"/>
  <c r="E5" i="11" a="1"/>
  <c r="H6" i="11" a="1"/>
  <c r="H17" i="10" a="1"/>
  <c r="B22" i="13" a="1"/>
  <c r="E13" i="11" a="1"/>
  <c r="K17" i="15" a="1"/>
  <c r="H20" i="15" a="1"/>
  <c r="B18" i="15" a="1"/>
  <c r="E11" i="15" a="1"/>
  <c r="E22" i="14" a="1"/>
  <c r="E9" i="14" a="1"/>
  <c r="B27" i="14" a="1"/>
  <c r="E19" i="13" a="1"/>
  <c r="B11" i="13" a="1"/>
  <c r="K25" i="12" a="1"/>
  <c r="E22" i="12" a="1"/>
  <c r="E14" i="12" a="1"/>
  <c r="K6" i="12" a="1"/>
  <c r="K8" i="12" a="1"/>
  <c r="K16" i="11" a="1"/>
  <c r="B22" i="11" a="1"/>
  <c r="B20" i="11" a="1"/>
  <c r="H12" i="11" a="1"/>
  <c r="H7" i="10" a="1"/>
  <c r="K7" i="15" a="1"/>
  <c r="E13" i="14" a="1"/>
  <c r="B28" i="14" a="1"/>
  <c r="E29" i="13" a="1"/>
  <c r="K19" i="12" a="1"/>
  <c r="K11" i="12" a="1"/>
  <c r="H18" i="12" a="1"/>
  <c r="H18" i="11" a="1"/>
  <c r="H18" i="15" a="1"/>
  <c r="E23" i="14" a="1"/>
  <c r="B29" i="14" a="1"/>
  <c r="E20" i="13" a="1"/>
  <c r="E17" i="12" a="1"/>
  <c r="E9" i="12" a="1"/>
  <c r="E13" i="12" a="1"/>
  <c r="B11" i="12" a="1"/>
  <c r="E15" i="11" a="1"/>
  <c r="B23" i="11" a="1"/>
  <c r="E20" i="11" a="1"/>
  <c r="H15" i="10" a="1"/>
  <c r="E5" i="14" a="1"/>
  <c r="E17" i="15" a="1"/>
  <c r="B14" i="13" a="1"/>
  <c r="H20" i="12" a="1"/>
  <c r="K13" i="11" a="1"/>
  <c r="H25" i="12" a="1"/>
  <c r="E20" i="12" a="1"/>
  <c r="K20" i="11" a="1"/>
  <c r="K6" i="15" a="1"/>
  <c r="E11" i="13" a="1"/>
  <c r="H24" i="12" a="1"/>
  <c r="B12" i="11" a="1"/>
  <c r="H5" i="10" a="1"/>
  <c r="K9" i="12" a="1"/>
  <c r="K14" i="15" a="1"/>
  <c r="H11" i="15" a="1"/>
  <c r="E12" i="15" a="1"/>
  <c r="B19" i="15" a="1"/>
  <c r="E24" i="14" a="1"/>
  <c r="H16" i="12" a="1"/>
  <c r="K23" i="15" a="1"/>
  <c r="H14" i="15" a="1"/>
  <c r="E28" i="15" a="1"/>
  <c r="B21" i="15" a="1"/>
  <c r="E15" i="14" a="1"/>
  <c r="B6" i="14" a="1"/>
  <c r="B22" i="14" a="1"/>
  <c r="E21" i="13" a="1"/>
  <c r="B6" i="13" a="1"/>
  <c r="H26" i="12" a="1"/>
  <c r="E12" i="12" a="1"/>
  <c r="H21" i="12" a="1"/>
  <c r="H10" i="12" a="1"/>
  <c r="K15" i="12" a="1"/>
  <c r="K22" i="11" a="1"/>
  <c r="H8" i="11" a="1"/>
  <c r="E16" i="11" a="1"/>
  <c r="E10" i="11" a="1"/>
  <c r="H14" i="10" a="1"/>
  <c r="E30" i="15" a="1"/>
  <c r="H13" i="15" a="1"/>
  <c r="B13" i="15" a="1"/>
  <c r="B16" i="15" a="1"/>
  <c r="E25" i="14" a="1"/>
  <c r="B16" i="14" a="1"/>
  <c r="B13" i="14" a="1"/>
  <c r="E12" i="13" a="1"/>
  <c r="B17" i="10" a="1"/>
  <c r="E8" i="10" a="1"/>
  <c r="E17" i="8" a="1"/>
  <c r="B24" i="8" a="1"/>
  <c r="B7" i="10" a="1"/>
  <c r="B23" i="10" a="1"/>
  <c r="E18" i="8" a="1"/>
  <c r="B17" i="8" a="1"/>
  <c r="B7" i="8" a="1"/>
  <c r="E7" i="8" a="1"/>
  <c r="B27" i="10" a="1"/>
  <c r="B18" i="10" a="1"/>
  <c r="E9" i="8" a="1"/>
  <c r="B8" i="8" a="1"/>
  <c r="E20" i="10" a="1"/>
  <c r="B8" i="10" a="1"/>
  <c r="E8" i="8" a="1"/>
  <c r="B28" i="8" a="1"/>
  <c r="E10" i="10" a="1"/>
  <c r="E18" i="10" a="1"/>
  <c r="B33" i="8" a="1"/>
  <c r="E15" i="10" a="1"/>
  <c r="E17" i="10" a="1"/>
  <c r="E19" i="8" a="1"/>
  <c r="B29" i="8" a="1"/>
  <c r="E16" i="8" a="1"/>
  <c r="E7" i="10" a="1"/>
  <c r="E21" i="10" a="1"/>
  <c r="B22" i="10" a="1"/>
  <c r="E5" i="8" a="1"/>
  <c r="E22" i="10" a="1"/>
  <c r="E16" i="10" a="1"/>
  <c r="B26" i="10" a="1"/>
  <c r="B12" i="10" a="1"/>
  <c r="B6" i="8" a="1"/>
  <c r="B9" i="8" a="1"/>
  <c r="B15" i="10" a="1"/>
  <c r="B5" i="8" a="1"/>
  <c r="B10" i="8" a="1"/>
  <c r="B25" i="8" a="1"/>
  <c r="B15" i="8" a="1"/>
  <c r="B21" i="10" a="1"/>
  <c r="E20" i="8" a="1"/>
  <c r="B30" i="8" a="1"/>
  <c r="B16" i="8" a="1"/>
  <c r="E11" i="10" a="1"/>
  <c r="B14" i="10" a="1"/>
  <c r="E6" i="10" a="1"/>
  <c r="E10" i="8" a="1"/>
  <c r="B20" i="8" a="1"/>
  <c r="E19" i="10" a="1"/>
  <c r="B16" i="10" a="1"/>
  <c r="E9" i="10" a="1"/>
  <c r="E11" i="8" a="1"/>
  <c r="B11" i="8" a="1"/>
  <c r="B26" i="8" a="1"/>
  <c r="E12" i="10" a="1"/>
  <c r="B21" i="8" a="1"/>
  <c r="B27" i="8" a="1"/>
  <c r="B24" i="10" a="1"/>
  <c r="B19" i="8" a="1"/>
  <c r="B10" i="10" a="1"/>
  <c r="B19" i="10" a="1"/>
  <c r="E23" i="8" a="1"/>
  <c r="B25" i="10" a="1"/>
  <c r="E14" i="8" a="1"/>
  <c r="B13" i="10" a="1"/>
  <c r="E23" i="10" a="1"/>
  <c r="E6" i="8" a="1"/>
  <c r="B11" i="10" a="1"/>
  <c r="E21" i="8" a="1"/>
  <c r="B20" i="10" a="1"/>
  <c r="B23" i="8" a="1"/>
  <c r="B6" i="10" a="1"/>
  <c r="B5" i="10" a="1"/>
  <c r="E12" i="8" a="1"/>
  <c r="B31" i="8" a="1"/>
  <c r="B18" i="8" a="1"/>
  <c r="B12" i="8" a="1"/>
  <c r="B22" i="8" a="1"/>
  <c r="E13" i="8" a="1"/>
  <c r="E13" i="10" a="1"/>
  <c r="B14" i="8" a="1"/>
  <c r="B32" i="8" a="1"/>
  <c r="E14" i="10" a="1"/>
  <c r="B9" i="10" a="1"/>
  <c r="E15" i="8" a="1"/>
  <c r="B13" i="8" a="1"/>
  <c r="C69" i="3" a="1"/>
  <c r="B13" i="8" l="1"/>
  <c r="E15" i="8"/>
  <c r="B9" i="10"/>
  <c r="E14" i="10"/>
  <c r="B32" i="8"/>
  <c r="B14" i="8"/>
  <c r="E13" i="10"/>
  <c r="E13" i="8"/>
  <c r="B22" i="8"/>
  <c r="B12" i="8"/>
  <c r="B18" i="8"/>
  <c r="B31" i="8"/>
  <c r="E12" i="8"/>
  <c r="B5" i="10"/>
  <c r="B6" i="10"/>
  <c r="B23" i="8"/>
  <c r="B20" i="10"/>
  <c r="E21" i="8"/>
  <c r="B11" i="10"/>
  <c r="E6" i="8"/>
  <c r="E23" i="10"/>
  <c r="B13" i="10"/>
  <c r="E14" i="8"/>
  <c r="B25" i="10"/>
  <c r="E23" i="8"/>
  <c r="B19" i="10"/>
  <c r="B10" i="10"/>
  <c r="B19" i="8"/>
  <c r="B24" i="10"/>
  <c r="B27" i="8"/>
  <c r="B21" i="8"/>
  <c r="E12" i="10"/>
  <c r="B26" i="8"/>
  <c r="B11" i="8"/>
  <c r="E11" i="8"/>
  <c r="E9" i="10"/>
  <c r="B16" i="10"/>
  <c r="E19" i="10"/>
  <c r="B20" i="8"/>
  <c r="E10" i="8"/>
  <c r="E6" i="10"/>
  <c r="B14" i="10"/>
  <c r="E11" i="10"/>
  <c r="B16" i="8"/>
  <c r="B30" i="8"/>
  <c r="E20" i="8"/>
  <c r="B21" i="10"/>
  <c r="B15" i="8"/>
  <c r="B25" i="8"/>
  <c r="B10" i="8"/>
  <c r="B5" i="8"/>
  <c r="B15" i="10"/>
  <c r="B9" i="8"/>
  <c r="B6" i="8"/>
  <c r="B12" i="10"/>
  <c r="B26" i="10"/>
  <c r="E16" i="10"/>
  <c r="E22" i="10"/>
  <c r="E5" i="8"/>
  <c r="B22" i="10"/>
  <c r="E21" i="10"/>
  <c r="E7" i="10"/>
  <c r="E16" i="8"/>
  <c r="B29" i="8"/>
  <c r="E19" i="8"/>
  <c r="E17" i="10"/>
  <c r="E15" i="10"/>
  <c r="B33" i="8"/>
  <c r="E18" i="10"/>
  <c r="E10" i="10"/>
  <c r="B28" i="8"/>
  <c r="E8" i="8"/>
  <c r="B8" i="10"/>
  <c r="E20" i="10"/>
  <c r="B8" i="8"/>
  <c r="E9" i="8"/>
  <c r="B18" i="10"/>
  <c r="B27" i="10"/>
  <c r="E7" i="8"/>
  <c r="B7" i="8"/>
  <c r="B17" i="8"/>
  <c r="E18" i="8"/>
  <c r="B23" i="10"/>
  <c r="B7" i="10"/>
  <c r="B24" i="8"/>
  <c r="E17" i="8"/>
  <c r="E8" i="10"/>
  <c r="B17" i="10"/>
  <c r="E12" i="13"/>
  <c r="B13" i="14"/>
  <c r="B16" i="14"/>
  <c r="E25" i="14"/>
  <c r="B16" i="15"/>
  <c r="B13" i="15"/>
  <c r="H13" i="15"/>
  <c r="E30" i="15"/>
  <c r="H14" i="10"/>
  <c r="E10" i="11"/>
  <c r="E16" i="11"/>
  <c r="H8" i="11"/>
  <c r="K22" i="11"/>
  <c r="K15" i="12"/>
  <c r="H10" i="12"/>
  <c r="H21" i="12"/>
  <c r="E12" i="12"/>
  <c r="H26" i="12"/>
  <c r="B6" i="13"/>
  <c r="E21" i="13"/>
  <c r="B22" i="14"/>
  <c r="B6" i="14"/>
  <c r="E15" i="14"/>
  <c r="B21" i="15"/>
  <c r="E28" i="15"/>
  <c r="H14" i="15"/>
  <c r="K23" i="15"/>
  <c r="H16" i="12"/>
  <c r="E24" i="14"/>
  <c r="B19" i="15"/>
  <c r="E12" i="15"/>
  <c r="H11" i="15"/>
  <c r="K14" i="15"/>
  <c r="K9" i="12"/>
  <c r="H5" i="10"/>
  <c r="B12" i="11"/>
  <c r="H24" i="12"/>
  <c r="E11" i="13"/>
  <c r="K6" i="15"/>
  <c r="K20" i="11"/>
  <c r="E20" i="12"/>
  <c r="H25" i="12"/>
  <c r="K13" i="11"/>
  <c r="H20" i="12"/>
  <c r="B14" i="13"/>
  <c r="E17" i="15"/>
  <c r="E5" i="14"/>
  <c r="H15" i="10"/>
  <c r="E20" i="11"/>
  <c r="B23" i="11"/>
  <c r="E15" i="11"/>
  <c r="B11" i="12"/>
  <c r="E13" i="12"/>
  <c r="E9" i="12"/>
  <c r="E17" i="12"/>
  <c r="E20" i="13"/>
  <c r="B29" i="14"/>
  <c r="E23" i="14"/>
  <c r="H18" i="15"/>
  <c r="H18" i="11"/>
  <c r="H18" i="12"/>
  <c r="K11" i="12"/>
  <c r="K19" i="12"/>
  <c r="E29" i="13"/>
  <c r="B28" i="14"/>
  <c r="E13" i="14"/>
  <c r="K7" i="15"/>
  <c r="H7" i="10"/>
  <c r="H12" i="11"/>
  <c r="B20" i="11"/>
  <c r="B22" i="11"/>
  <c r="K16" i="11"/>
  <c r="K8" i="12"/>
  <c r="K6" i="12"/>
  <c r="E14" i="12"/>
  <c r="E22" i="12"/>
  <c r="K25" i="12"/>
  <c r="B11" i="13"/>
  <c r="E19" i="13"/>
  <c r="B27" i="14"/>
  <c r="E9" i="14"/>
  <c r="E22" i="14"/>
  <c r="E11" i="15"/>
  <c r="B18" i="15"/>
  <c r="H20" i="15"/>
  <c r="K17" i="15"/>
  <c r="E13" i="11"/>
  <c r="B22" i="13"/>
  <c r="H17" i="10"/>
  <c r="H6" i="11"/>
  <c r="E5" i="11"/>
  <c r="B26" i="11"/>
  <c r="K17" i="11"/>
  <c r="E11" i="12"/>
  <c r="B16" i="12"/>
  <c r="K16" i="12"/>
  <c r="B27" i="12"/>
  <c r="K23" i="12"/>
  <c r="B19" i="13"/>
  <c r="E9" i="13"/>
  <c r="B7" i="14"/>
  <c r="E18" i="14"/>
  <c r="E12" i="14"/>
  <c r="E26" i="15"/>
  <c r="B23" i="15"/>
  <c r="H21" i="15"/>
  <c r="K8" i="15"/>
  <c r="H9" i="11"/>
  <c r="B17" i="11"/>
  <c r="K20" i="12"/>
  <c r="B25" i="13"/>
  <c r="E10" i="14"/>
  <c r="H16" i="10"/>
  <c r="E6" i="11"/>
  <c r="K5" i="11"/>
  <c r="E23" i="12"/>
  <c r="K24" i="12"/>
  <c r="E29" i="14"/>
  <c r="B10" i="15"/>
  <c r="B8" i="15"/>
  <c r="H19" i="15"/>
  <c r="H8" i="10"/>
  <c r="B10" i="11"/>
  <c r="H7" i="11"/>
  <c r="B6" i="11"/>
  <c r="K18" i="11"/>
  <c r="K13" i="12"/>
  <c r="E19" i="12"/>
  <c r="K7" i="12"/>
  <c r="B17" i="13"/>
  <c r="B9" i="13"/>
  <c r="E28" i="13"/>
  <c r="B15" i="14"/>
  <c r="E7" i="14"/>
  <c r="E8" i="14"/>
  <c r="B14" i="15"/>
  <c r="E13" i="15"/>
  <c r="H5" i="15"/>
  <c r="K18" i="15"/>
  <c r="H19" i="11"/>
  <c r="K14" i="12"/>
  <c r="K14" i="11"/>
  <c r="K26" i="12"/>
  <c r="E9" i="15"/>
  <c r="K9" i="11"/>
  <c r="E16" i="12"/>
  <c r="K21" i="12"/>
  <c r="B10" i="12"/>
  <c r="B16" i="13"/>
  <c r="B18" i="13"/>
  <c r="E18" i="13"/>
  <c r="B23" i="14"/>
  <c r="E16" i="14"/>
  <c r="B9" i="15"/>
  <c r="E24" i="15"/>
  <c r="E18" i="15"/>
  <c r="H15" i="15"/>
  <c r="K9" i="15"/>
  <c r="E5" i="12"/>
  <c r="B31" i="14"/>
  <c r="H18" i="10"/>
  <c r="H16" i="11"/>
  <c r="B11" i="11"/>
  <c r="B9" i="11"/>
  <c r="B19" i="12"/>
  <c r="H9" i="10"/>
  <c r="E23" i="11"/>
  <c r="E14" i="11"/>
  <c r="E12" i="11"/>
  <c r="K19" i="11"/>
  <c r="K18" i="12"/>
  <c r="B7" i="12"/>
  <c r="B25" i="12"/>
  <c r="H12" i="12"/>
  <c r="B24" i="13"/>
  <c r="E8" i="13"/>
  <c r="B12" i="14"/>
  <c r="E6" i="14"/>
  <c r="E19" i="15"/>
  <c r="B25" i="15"/>
  <c r="E29" i="15"/>
  <c r="H6" i="15"/>
  <c r="K19" i="15"/>
  <c r="K10" i="12"/>
  <c r="H19" i="10"/>
  <c r="B7" i="11"/>
  <c r="H17" i="11"/>
  <c r="H15" i="11"/>
  <c r="K11" i="11"/>
  <c r="E21" i="12"/>
  <c r="K12" i="12"/>
  <c r="E7" i="12"/>
  <c r="B15" i="12"/>
  <c r="B23" i="13"/>
  <c r="E5" i="13"/>
  <c r="E7" i="13"/>
  <c r="B21" i="14"/>
  <c r="E21" i="14"/>
  <c r="B20" i="15"/>
  <c r="E6" i="15"/>
  <c r="B24" i="15"/>
  <c r="H16" i="15"/>
  <c r="K10" i="15"/>
  <c r="E22" i="8"/>
  <c r="K22" i="12"/>
  <c r="K22" i="15"/>
  <c r="H25" i="10"/>
  <c r="K21" i="11"/>
  <c r="E17" i="13"/>
  <c r="B30" i="14"/>
  <c r="E15" i="15"/>
  <c r="E7" i="15"/>
  <c r="E22" i="11"/>
  <c r="B20" i="12"/>
  <c r="B10" i="13"/>
  <c r="E10" i="13"/>
  <c r="E26" i="13"/>
  <c r="B9" i="14"/>
  <c r="H7" i="15"/>
  <c r="H21" i="10"/>
  <c r="H24" i="10"/>
  <c r="B5" i="11"/>
  <c r="H14" i="11"/>
  <c r="B28" i="11"/>
  <c r="E10" i="12"/>
  <c r="B13" i="12"/>
  <c r="B12" i="12"/>
  <c r="E14" i="14"/>
  <c r="E20" i="15"/>
  <c r="E21" i="15"/>
  <c r="E27" i="15"/>
  <c r="H17" i="15"/>
  <c r="K13" i="15"/>
  <c r="H6" i="10"/>
  <c r="H5" i="11"/>
  <c r="E7" i="11"/>
  <c r="B18" i="11"/>
  <c r="B27" i="11"/>
  <c r="E24" i="11"/>
  <c r="E15" i="12"/>
  <c r="B18" i="12"/>
  <c r="H14" i="12"/>
  <c r="H22" i="12"/>
  <c r="B7" i="13"/>
  <c r="E27" i="13"/>
  <c r="E16" i="13"/>
  <c r="B18" i="14"/>
  <c r="E11" i="14"/>
  <c r="E25" i="15"/>
  <c r="E5" i="15"/>
  <c r="E8" i="15"/>
  <c r="K11" i="15"/>
  <c r="K5" i="15"/>
  <c r="B21" i="11"/>
  <c r="H17" i="12"/>
  <c r="E25" i="13"/>
  <c r="E15" i="13"/>
  <c r="E20" i="14"/>
  <c r="B11" i="15"/>
  <c r="B7" i="15"/>
  <c r="E23" i="15"/>
  <c r="K24" i="15"/>
  <c r="B30" i="15"/>
  <c r="B19" i="11"/>
  <c r="B24" i="12"/>
  <c r="B21" i="13"/>
  <c r="E30" i="14"/>
  <c r="H11" i="10"/>
  <c r="H22" i="11"/>
  <c r="H10" i="11"/>
  <c r="K12" i="11"/>
  <c r="B8" i="12"/>
  <c r="E8" i="12"/>
  <c r="H8" i="12"/>
  <c r="B17" i="12"/>
  <c r="B26" i="13"/>
  <c r="H10" i="10"/>
  <c r="E18" i="12"/>
  <c r="B15" i="13"/>
  <c r="H23" i="10"/>
  <c r="B16" i="11"/>
  <c r="H21" i="11"/>
  <c r="H9" i="12"/>
  <c r="E21" i="11"/>
  <c r="B28" i="12"/>
  <c r="H23" i="11"/>
  <c r="K6" i="11"/>
  <c r="K17" i="12"/>
  <c r="B21" i="12"/>
  <c r="H13" i="12"/>
  <c r="E27" i="12"/>
  <c r="B13" i="13"/>
  <c r="E14" i="13"/>
  <c r="B20" i="14"/>
  <c r="B11" i="14"/>
  <c r="E28" i="14"/>
  <c r="E14" i="15"/>
  <c r="B17" i="15"/>
  <c r="H8" i="15"/>
  <c r="K20" i="15"/>
  <c r="B28" i="15"/>
  <c r="H12" i="10"/>
  <c r="B8" i="11"/>
  <c r="H20" i="11"/>
  <c r="H11" i="11"/>
  <c r="K7" i="11"/>
  <c r="E6" i="12"/>
  <c r="B14" i="12"/>
  <c r="H23" i="12"/>
  <c r="B26" i="12"/>
  <c r="E26" i="12"/>
  <c r="B12" i="13"/>
  <c r="E23" i="13"/>
  <c r="B8" i="14"/>
  <c r="B10" i="14"/>
  <c r="E27" i="14"/>
  <c r="B15" i="15"/>
  <c r="B22" i="15"/>
  <c r="H10" i="15"/>
  <c r="K15" i="15"/>
  <c r="H13" i="11"/>
  <c r="E6" i="13"/>
  <c r="K15" i="11"/>
  <c r="H19" i="12"/>
  <c r="E19" i="14"/>
  <c r="B29" i="15"/>
  <c r="E8" i="11"/>
  <c r="H22" i="10"/>
  <c r="B20" i="13"/>
  <c r="B25" i="14"/>
  <c r="E17" i="14"/>
  <c r="H12" i="15"/>
  <c r="E16" i="15"/>
  <c r="H15" i="12"/>
  <c r="B17" i="14"/>
  <c r="B13" i="11"/>
  <c r="B14" i="11"/>
  <c r="B25" i="11"/>
  <c r="B6" i="12"/>
  <c r="B29" i="12"/>
  <c r="E24" i="13"/>
  <c r="B24" i="14"/>
  <c r="B26" i="15"/>
  <c r="B12" i="15"/>
  <c r="H9" i="15"/>
  <c r="K25" i="15"/>
  <c r="H20" i="10"/>
  <c r="E17" i="11"/>
  <c r="B22" i="12"/>
  <c r="E9" i="11"/>
  <c r="B24" i="11"/>
  <c r="B15" i="11"/>
  <c r="K8" i="11"/>
  <c r="B23" i="12"/>
  <c r="E24" i="12"/>
  <c r="B9" i="12"/>
  <c r="K5" i="12"/>
  <c r="E28" i="12"/>
  <c r="E13" i="13"/>
  <c r="B19" i="14"/>
  <c r="E10" i="15"/>
  <c r="B27" i="15"/>
  <c r="K16" i="15"/>
  <c r="H13" i="10"/>
  <c r="E19" i="11"/>
  <c r="E11" i="11"/>
  <c r="E18" i="11"/>
  <c r="K10" i="11"/>
  <c r="H6" i="12"/>
  <c r="H5" i="12"/>
  <c r="H11" i="12"/>
  <c r="H7" i="12"/>
  <c r="E25" i="12"/>
  <c r="B8" i="13"/>
  <c r="E22" i="13"/>
  <c r="B14" i="14"/>
  <c r="B26" i="14"/>
  <c r="E26" i="14"/>
  <c r="B6" i="15"/>
  <c r="E22" i="15"/>
  <c r="H22" i="15"/>
  <c r="K21" i="15"/>
  <c r="B27" i="13"/>
  <c r="K12" i="15"/>
  <c r="E27" i="16"/>
  <c r="B17" i="16"/>
  <c r="K24" i="16"/>
  <c r="B20" i="16"/>
  <c r="K11" i="16"/>
  <c r="H11" i="16"/>
  <c r="E20" i="16"/>
  <c r="E6" i="16"/>
  <c r="H14" i="16"/>
  <c r="H22" i="16"/>
  <c r="B31" i="15"/>
  <c r="B29" i="16"/>
  <c r="K20" i="16"/>
  <c r="H20" i="16"/>
  <c r="E29" i="16"/>
  <c r="H7" i="16"/>
  <c r="B11" i="16"/>
  <c r="E14" i="16"/>
  <c r="E9" i="16"/>
  <c r="B16" i="16"/>
  <c r="B9" i="16"/>
  <c r="K9" i="16"/>
  <c r="H9" i="16"/>
  <c r="E28" i="16"/>
  <c r="K22" i="16"/>
  <c r="E7" i="16"/>
  <c r="B27" i="16"/>
  <c r="B19" i="16"/>
  <c r="B12" i="16"/>
  <c r="B28" i="16"/>
  <c r="K27" i="16"/>
  <c r="H16" i="16"/>
  <c r="E17" i="16"/>
  <c r="E12" i="16"/>
  <c r="H13" i="16"/>
  <c r="B30" i="16"/>
  <c r="K19" i="16"/>
  <c r="B15" i="16"/>
  <c r="B18" i="16"/>
  <c r="K26" i="16"/>
  <c r="H21" i="16"/>
  <c r="E26" i="16"/>
  <c r="K25" i="16"/>
  <c r="B26" i="16"/>
  <c r="E19" i="16"/>
  <c r="K23" i="16"/>
  <c r="H19" i="16"/>
  <c r="B7" i="16"/>
  <c r="B8" i="16"/>
  <c r="K14" i="16"/>
  <c r="H28" i="16"/>
  <c r="E16" i="16"/>
  <c r="H27" i="16"/>
  <c r="H5" i="16"/>
  <c r="H8" i="16"/>
  <c r="B14" i="16"/>
  <c r="K5" i="16"/>
  <c r="K21" i="16"/>
  <c r="H18" i="16"/>
  <c r="E24" i="16"/>
  <c r="B10" i="16"/>
  <c r="K7" i="16"/>
  <c r="B6" i="16"/>
  <c r="K13" i="16"/>
  <c r="E15" i="16"/>
  <c r="B13" i="16"/>
  <c r="K6" i="16"/>
  <c r="K18" i="16"/>
  <c r="H23" i="16"/>
  <c r="E23" i="16"/>
  <c r="H17" i="16"/>
  <c r="B23" i="16"/>
  <c r="B21" i="16"/>
  <c r="K12" i="16"/>
  <c r="K8" i="16"/>
  <c r="H29" i="16"/>
  <c r="E13" i="16"/>
  <c r="E22" i="16"/>
  <c r="E21" i="16"/>
  <c r="H25" i="16"/>
  <c r="E11" i="16"/>
  <c r="B25" i="16"/>
  <c r="K15" i="16"/>
  <c r="H10" i="16"/>
  <c r="H6" i="16"/>
  <c r="B24" i="16"/>
  <c r="K10" i="16"/>
  <c r="H26" i="16"/>
  <c r="B5" i="16"/>
  <c r="E10" i="16"/>
  <c r="H12" i="16"/>
  <c r="K17" i="16"/>
  <c r="H15" i="16"/>
  <c r="E5" i="16"/>
  <c r="E8" i="16"/>
  <c r="B22" i="16"/>
  <c r="K16" i="16"/>
  <c r="H24" i="16"/>
  <c r="E25" i="16"/>
  <c r="E18" i="16"/>
  <c r="C69" i="3"/>
  <c r="C70" i="3" s="1"/>
  <c r="C71" i="3" s="1"/>
  <c r="E5" i="7"/>
  <c r="C50" i="3"/>
  <c r="C56" i="3" a="1"/>
  <c r="C57" i="3" a="1"/>
  <c r="C51" i="3" a="1"/>
  <c r="F5" i="7"/>
  <c r="C35" i="3"/>
  <c r="C57" i="3" l="1"/>
  <c r="C56" i="3"/>
  <c r="C58" i="3" s="1"/>
  <c r="M4" i="17"/>
  <c r="C59" i="3"/>
  <c r="C51" i="3"/>
  <c r="M4" i="15"/>
  <c r="M5" i="15" s="1"/>
  <c r="M4" i="16"/>
  <c r="G4" i="13"/>
  <c r="G5" i="13" s="1"/>
  <c r="G4" i="14"/>
  <c r="M4" i="11"/>
  <c r="M5" i="11" s="1"/>
  <c r="M7" i="11" s="1"/>
  <c r="M4" i="12"/>
  <c r="G4" i="8"/>
  <c r="J4" i="10"/>
  <c r="N4" i="17" a="1"/>
  <c r="N5" i="11" a="1"/>
  <c r="N4" i="11" a="1"/>
  <c r="N4" i="15" a="1"/>
  <c r="N5" i="15" a="1"/>
  <c r="N4" i="16" a="1"/>
  <c r="K4" i="10" a="1"/>
  <c r="H5" i="13" a="1"/>
  <c r="N4" i="12" a="1"/>
  <c r="H4" i="14" a="1"/>
  <c r="N7" i="11" a="1"/>
  <c r="H4" i="13" a="1"/>
  <c r="H4" i="8" a="1"/>
  <c r="N4" i="17" l="1"/>
  <c r="M5" i="17"/>
  <c r="N4" i="16"/>
  <c r="N5" i="15"/>
  <c r="N4" i="15"/>
  <c r="M6" i="15"/>
  <c r="M5" i="16"/>
  <c r="H4" i="14"/>
  <c r="H5" i="13"/>
  <c r="H4" i="13"/>
  <c r="G5" i="14"/>
  <c r="N7" i="11"/>
  <c r="N4" i="12"/>
  <c r="N4" i="11"/>
  <c r="M5" i="12"/>
  <c r="N5" i="11"/>
  <c r="M6" i="11"/>
  <c r="K4" i="10"/>
  <c r="H4" i="8"/>
  <c r="J5" i="10"/>
  <c r="J6" i="10" s="1"/>
  <c r="G5" i="8"/>
  <c r="C43" i="3"/>
  <c r="N5" i="17" a="1"/>
  <c r="H5" i="8" a="1"/>
  <c r="N6" i="15" a="1"/>
  <c r="N5" i="16" a="1"/>
  <c r="H5" i="14" a="1"/>
  <c r="N6" i="11" a="1"/>
  <c r="K6" i="10" a="1"/>
  <c r="K5" i="10" a="1"/>
  <c r="N5" i="12" a="1"/>
  <c r="N5" i="17" l="1"/>
  <c r="M6" i="17"/>
  <c r="N5" i="16"/>
  <c r="N6" i="15"/>
  <c r="M7" i="15"/>
  <c r="M6" i="16"/>
  <c r="H5" i="14"/>
  <c r="N5" i="12"/>
  <c r="N6" i="11"/>
  <c r="M7" i="12"/>
  <c r="M6" i="12"/>
  <c r="K6" i="10"/>
  <c r="H5" i="8"/>
  <c r="K5" i="10"/>
  <c r="B20" i="2"/>
  <c r="D6" i="3"/>
  <c r="N6" i="17" a="1"/>
  <c r="F6" i="3"/>
  <c r="G6" i="3"/>
  <c r="N6" i="12" a="1"/>
  <c r="N7" i="12" a="1"/>
  <c r="C36" i="3"/>
  <c r="E6" i="3"/>
  <c r="N6" i="16" a="1"/>
  <c r="N7" i="15" a="1"/>
  <c r="N6" i="17" l="1"/>
  <c r="M7" i="17"/>
  <c r="C38" i="3"/>
  <c r="C60" i="3" s="1"/>
  <c r="N6" i="16"/>
  <c r="N7" i="15"/>
  <c r="M7" i="16"/>
  <c r="N6" i="12"/>
  <c r="N7" i="12"/>
  <c r="C29" i="3"/>
  <c r="C37" i="3" s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N7" i="17" a="1"/>
  <c r="E21" i="3"/>
  <c r="G22" i="3"/>
  <c r="F12" i="3"/>
  <c r="F15" i="3"/>
  <c r="E25" i="3"/>
  <c r="F10" i="3"/>
  <c r="G21" i="3"/>
  <c r="E7" i="3"/>
  <c r="F18" i="3"/>
  <c r="F21" i="3"/>
  <c r="G12" i="3"/>
  <c r="E18" i="3"/>
  <c r="G17" i="3"/>
  <c r="F9" i="3"/>
  <c r="E12" i="3"/>
  <c r="E17" i="3"/>
  <c r="G14" i="3"/>
  <c r="F23" i="3"/>
  <c r="G18" i="3"/>
  <c r="F13" i="3"/>
  <c r="G20" i="3"/>
  <c r="E14" i="3"/>
  <c r="G19" i="3"/>
  <c r="E8" i="3"/>
  <c r="F14" i="3"/>
  <c r="F11" i="3"/>
  <c r="E20" i="3"/>
  <c r="F22" i="3"/>
  <c r="N7" i="16" a="1"/>
  <c r="E11" i="3"/>
  <c r="E22" i="3"/>
  <c r="G23" i="3"/>
  <c r="F17" i="3"/>
  <c r="F19" i="3"/>
  <c r="E13" i="3"/>
  <c r="E9" i="3"/>
  <c r="G16" i="3"/>
  <c r="E16" i="3"/>
  <c r="F7" i="3"/>
  <c r="G8" i="3"/>
  <c r="E15" i="3"/>
  <c r="E23" i="3"/>
  <c r="E19" i="3"/>
  <c r="F24" i="3"/>
  <c r="F8" i="3"/>
  <c r="F25" i="3"/>
  <c r="G9" i="3"/>
  <c r="G15" i="3"/>
  <c r="G7" i="3"/>
  <c r="G11" i="3"/>
  <c r="G10" i="3"/>
  <c r="E10" i="3"/>
  <c r="F20" i="3"/>
  <c r="G24" i="3"/>
  <c r="E24" i="3"/>
  <c r="G25" i="3"/>
  <c r="G13" i="3"/>
  <c r="F16" i="3"/>
  <c r="N7" i="17" l="1"/>
  <c r="C61" i="3"/>
  <c r="C63" i="3"/>
  <c r="C62" i="3"/>
  <c r="C64" i="3" s="1"/>
  <c r="N7" i="16"/>
  <c r="C39" i="3"/>
  <c r="C45" i="3" a="1"/>
  <c r="C45" i="3" l="1"/>
  <c r="C46" i="3" s="1"/>
  <c r="C5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<sst xmlns="http://schemas.openxmlformats.org/spreadsheetml/2006/main" count="925" uniqueCount="139">
  <si>
    <t>Trincee Drenanti - Dimensionamento di Massima</t>
  </si>
  <si>
    <t>https://www.franciscojmendez.com/trincee-drenanti-dimensionamento-massima/</t>
  </si>
  <si>
    <t>Autore:  Francisco Jose Mendez  -  Ingegnere Civile, PhD</t>
  </si>
  <si>
    <t>www.franciscojmendez.com</t>
  </si>
  <si>
    <t>STRUTTURA DEL WORKBOOK</t>
  </si>
  <si>
    <t xml:space="preserve">   DATI_INPUT  -  dati di progetto (celle blu, modificabili)</t>
  </si>
  <si>
    <t xml:space="preserve">   ANALISI  -  analisi di stabilita in 6 sezioni</t>
  </si>
  <si>
    <t xml:space="preserve">   DB_Abachi (nascosto)  -  punti digitalizzati degli abachi</t>
  </si>
  <si>
    <t>LE 6 SEZIONI DELL'ANALISI</t>
  </si>
  <si>
    <t xml:space="preserve">   1. Analisi preliminare del coefficiente di sicurezza F(Z)</t>
  </si>
  <si>
    <t xml:space="preserve">   2. Definizione degli obiettivi progettuali</t>
  </si>
  <si>
    <t xml:space="preserve">   3. Coefficiente di sicurezza iniziale ed efficienza idraulica</t>
  </si>
  <si>
    <t xml:space="preserve">   4. Determinazione del rapporto S/H0 (abaco di efficienza)</t>
  </si>
  <si>
    <t xml:space="preserve">   5. Verifica temporale</t>
  </si>
  <si>
    <t xml:space="preserve">   6. Calcolo della portata drenata</t>
  </si>
  <si>
    <t>COME ATTIVARE I CALCOLI</t>
  </si>
  <si>
    <t xml:space="preserve">   1. Apri l'editor VBA:  Alt + F11</t>
  </si>
  <si>
    <t xml:space="preserve">   2. File &gt; Importa file...  -&gt;  ModuloTrincee_v1_0.bas</t>
  </si>
  <si>
    <t xml:space="preserve">   3. Salva come .xlsm per mantenere attive le macro</t>
  </si>
  <si>
    <t>METODO</t>
  </si>
  <si>
    <t>BIBLIOGRAFIA</t>
  </si>
  <si>
    <t>DATI DI INPUT</t>
  </si>
  <si>
    <t>Geometria e parametri fisici</t>
  </si>
  <si>
    <t>Profondita strato impermeabile  H</t>
  </si>
  <si>
    <t>m</t>
  </si>
  <si>
    <t>Profondita piano di scorrimento  D</t>
  </si>
  <si>
    <t>Inclinazione del pendio  beta</t>
  </si>
  <si>
    <t>gradi</t>
  </si>
  <si>
    <t>Peso specifico terreno  gamma</t>
  </si>
  <si>
    <t>kN/m3</t>
  </si>
  <si>
    <t>Peso specifico acqua  gamma_w</t>
  </si>
  <si>
    <t>Permeabilita orizzontale  k_h</t>
  </si>
  <si>
    <t>m/s</t>
  </si>
  <si>
    <t>Permeabilita verticale  k_v</t>
  </si>
  <si>
    <t>Modulo di Young  E</t>
  </si>
  <si>
    <t>kPa</t>
  </si>
  <si>
    <t>Coefficiente di Poisson  nu</t>
  </si>
  <si>
    <t>-</t>
  </si>
  <si>
    <t>Parametri geotecnici di progetto</t>
  </si>
  <si>
    <t>Coesione efficace  c'</t>
  </si>
  <si>
    <t>Angolo di attrito efficace  phi'</t>
  </si>
  <si>
    <t>0 = falda a piano campagna</t>
  </si>
  <si>
    <t>pari a D (condizione drenata)</t>
  </si>
  <si>
    <t>Obiettivi progettuali</t>
  </si>
  <si>
    <t>Coeff. sicurezza a regime  F_target</t>
  </si>
  <si>
    <t>Orizzonte breve termine</t>
  </si>
  <si>
    <t>mesi</t>
  </si>
  <si>
    <t>Configurazione abaco (drenaggio)</t>
  </si>
  <si>
    <t>Rapporto D/H0  -&gt;  d</t>
  </si>
  <si>
    <t>D = piano di verifica (sup. scorrim.); 0.5,1,1.5,2</t>
  </si>
  <si>
    <t>Portata</t>
  </si>
  <si>
    <t>Lunghezza di un ramo  L</t>
  </si>
  <si>
    <t>ANALISI DI STABILITA - TRINCEE DRENANTI</t>
  </si>
  <si>
    <t>Z [m]</t>
  </si>
  <si>
    <t>F saturo</t>
  </si>
  <si>
    <t>F asciutto</t>
  </si>
  <si>
    <t>1.  Analisi preliminare del coefficiente di sicurezza F(Z)</t>
  </si>
  <si>
    <t>Coefficiente di sicurezza lungo la profondita Z dello strato da drenare (da 0 a H).</t>
  </si>
  <si>
    <t>2.  Definizione degli obiettivi progettuali</t>
  </si>
  <si>
    <t>Coefficiente di sicurezza richiesto A REGIME  F_target</t>
  </si>
  <si>
    <t>Orizzonte di breve termine</t>
  </si>
  <si>
    <t>Obiettivo a breve termine</t>
  </si>
  <si>
    <t>verificato in sezione 5</t>
  </si>
  <si>
    <t>3.  Coefficiente di sicurezza iniziale ed efficienza idraulica</t>
  </si>
  <si>
    <t>Fmax - sicurezza max ottenibile (Z=D, asciutto)</t>
  </si>
  <si>
    <t>Delta F richiesto  = F_target - F0</t>
  </si>
  <si>
    <t>Delta F max ottenibile = Fmax - F0</t>
  </si>
  <si>
    <t>EFFICIENZA RICHIESTA  E = dF / dFmax</t>
  </si>
  <si>
    <t>4.  Determinazione del rapporto S/H0 (abaco di efficienza)</t>
  </si>
  <si>
    <t>Configurazione   n  /  d</t>
  </si>
  <si>
    <t>da DATI_INPUT</t>
  </si>
  <si>
    <t>5.  Verifica temporale</t>
  </si>
  <si>
    <t>t50 reale</t>
  </si>
  <si>
    <t>t90 reale</t>
  </si>
  <si>
    <t>6.  Calcolo della portata drenata</t>
  </si>
  <si>
    <t>s adim. = S*sqrt(kv/kh)/(2D)</t>
  </si>
  <si>
    <t>q adim. = GetQadim(s)</t>
  </si>
  <si>
    <t>Portata per metro  Q = q*kv*D*1000*3600</t>
  </si>
  <si>
    <t>l/h/m</t>
  </si>
  <si>
    <t>Portata di un ramo  Qd = Q * L</t>
  </si>
  <si>
    <t>l/h</t>
  </si>
  <si>
    <t>tipo</t>
  </si>
  <si>
    <t>n</t>
  </si>
  <si>
    <t>d</t>
  </si>
  <si>
    <t>x</t>
  </si>
  <si>
    <t>y</t>
  </si>
  <si>
    <t>EFF</t>
  </si>
  <si>
    <t>T50</t>
  </si>
  <si>
    <t>T90</t>
  </si>
  <si>
    <t>Q</t>
  </si>
  <si>
    <t>ABACO - Efficienza idraulica media E(S/H0)</t>
  </si>
  <si>
    <t>n1.0_d1.0 x</t>
  </si>
  <si>
    <t>n1.0_d1.0 y</t>
  </si>
  <si>
    <t>ABACO - Fattore di portata q(s)</t>
  </si>
  <si>
    <t>Q x</t>
  </si>
  <si>
    <t>Q y</t>
  </si>
  <si>
    <t>⚠  Questo strumento è fornito a scopo didattico e di supporto alla progettazione. La responsabilità della verifica e della validazione dei risultati rimane in capo al professionista.</t>
  </si>
  <si>
    <t>Strumento di calcolo per il dimensionamento di massima delle trincee drenanti, a corredo dell'articolo tecnico:</t>
  </si>
  <si>
    <t>Rapporto H/H0  -&gt;  n</t>
  </si>
  <si>
    <t xml:space="preserve">Profondita della trincea H0 </t>
  </si>
  <si>
    <t>Falda iniziale dw_init</t>
  </si>
  <si>
    <t>S/H0</t>
  </si>
  <si>
    <t>Efficienza</t>
  </si>
  <si>
    <t>Falda terreno asciutto dw_dry</t>
  </si>
  <si>
    <t>Falda terreno saturo dw_sat</t>
  </si>
  <si>
    <t>Tre condizioni di falda da DATI_INPUT: iniziale, saturo (falda a p.c.), asciutto (drenato).</t>
  </si>
  <si>
    <t>Tabella Z-F nelle colonne a destra.</t>
  </si>
  <si>
    <t>F iniziale</t>
  </si>
  <si>
    <t>F0  - sicurezza iniziale (Z=D, falda a dw_init)</t>
  </si>
  <si>
    <t>S di progetto</t>
  </si>
  <si>
    <t>S/H0 di progetto = S / H0</t>
  </si>
  <si>
    <t>E ottenuta = GetEfficienza(n, d, S/H0 di progetto)</t>
  </si>
  <si>
    <t>Verifica</t>
  </si>
  <si>
    <t>Calcolo teorico interasse dreni (abaco di efficienza, funzione inversa):</t>
  </si>
  <si>
    <t>Interasse di progetto (valore medio rappresentativo &lt;= valore teorico):</t>
  </si>
  <si>
    <t>T50 = GetT("T50", n, d, S/H0 di progetto)</t>
  </si>
  <si>
    <t>T90 = GetT("T90", n, d, S/H0 di progetto)</t>
  </si>
  <si>
    <t>Delta F ottenuto = E ottenuta * Delta Fmax</t>
  </si>
  <si>
    <t>F a regime ottenuto = F0 + Delta F ottenuto</t>
  </si>
  <si>
    <t>F a t50  = F0 + 0.5 * Delta F ottenuto</t>
  </si>
  <si>
    <t>F a t90  = F0 + 0.9 * Delta F ottenuto</t>
  </si>
  <si>
    <t>S/H0 teorico = GetSuH0(n, d, E richiesta)</t>
  </si>
  <si>
    <t>S teorico = (S/H0 suggerito) * H0</t>
  </si>
  <si>
    <t xml:space="preserve">n </t>
  </si>
  <si>
    <t>S/Ho</t>
  </si>
  <si>
    <t>E</t>
  </si>
  <si>
    <t>Valori di progetto</t>
  </si>
  <si>
    <t>tempo massimo accettabile per il 50% dell'effetto</t>
  </si>
  <si>
    <t>Coeff. sicurezza minimo a breve termine F_short</t>
  </si>
  <si>
    <t>Verifica F(T50) &gt; F_short entro orizzonte breve termine</t>
  </si>
  <si>
    <t>mesi entro cui il drenaggio deve essere efficace</t>
  </si>
  <si>
    <t>Tutte le sezioni richiedono l'import del modulo VBA (Alt+F11 → File → Importa file → ModuloTrincee_v1_0.bas), incluse le sezioni 1-3 che utilizzano la funzione GetFZ. Senza il modulo importato, le celle mostreranno l'indicazione "-&gt; importa ModuloTrincee.bas".</t>
  </si>
  <si>
    <t>Ordine dei Geologi della Sardegna. La progettazione delle trincee drenanti per la stabilizzazione dei pendii.</t>
  </si>
  <si>
    <t>Desideri A., Miliziano S., Rampello S. (1997). Drenaggi a gravità per la stabilizzazione dei pendii. Hevelius Edizioni, Benevento.</t>
  </si>
  <si>
    <t xml:space="preserve">Versione Excle degli script Python sviluppati durante il https://www.franciscojmendez.com/trincee-drenanti-dimensionamento-massima/. Gli abachi sono interrogati con uno spline cubico NOT-A-KNOT, equivalente  a scipy.interpolate.CubicSpline. </t>
  </si>
  <si>
    <t xml:space="preserve">   Abachi_Efficienza / _Tempi / _Portata  -  di riferimento</t>
  </si>
  <si>
    <t>1 o 2.5 — valore disponibile più prossimo in senso conservativo (t più lungo)</t>
  </si>
  <si>
    <t xml:space="preserve">EFF: 1,1.5,2.5,4 </t>
  </si>
  <si>
    <t xml:space="preserve">n per calcolo tempi  -&gt;  n_t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</si>
</sst>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777777"/>
      <name val="Arial"/>
      <charset val="1"/>
    </font>
    <font>
      <b/>
      <sz val="11"/>
      <color rgb="FFFFFFFF"/>
      <name val="Arial"/>
      <charset val="1"/>
    </font>
    <font>
      <b/>
      <sz val="10"/>
      <color rgb="FF006100"/>
      <name val="Arial"/>
      <charset val="1"/>
    </font>
    <font>
      <u/>
      <sz val="11"/>
      <color theme="10"/>
      <name val="Calibri"/>
      <family val="2"/>
      <charset val="1"/>
    </font>
    <font>
      <b/>
      <sz val="9"/>
      <color rgb="FFC65911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8"/>
      <color rgb="FF777777"/>
      <name val="Arial"/>
      <family val="2"/>
    </font>
    <font>
      <u/>
      <sz val="11"/>
      <color theme="10"/>
      <name val="Arial"/>
      <family val="2"/>
    </font>
    <font>
      <b/>
      <sz val="10"/>
      <name val="Arial"/>
      <family val="2"/>
    </font>
    <font>
      <b/>
      <sz val="10"/>
      <color rgb="FF1F3A5F"/>
      <name val="Arial"/>
      <family val="2"/>
    </font>
    <font>
      <i/>
      <sz val="9"/>
      <color rgb="FFC00000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1F3A5F"/>
        <bgColor rgb="FF333333"/>
      </patternFill>
    </fill>
    <fill>
      <patternFill patternType="solid">
        <fgColor rgb="FF2E6DA4"/>
        <bgColor rgb="FF4A7EBB"/>
      </patternFill>
    </fill>
    <fill>
      <patternFill patternType="solid">
        <fgColor rgb="FFFFF6CC"/>
        <bgColor rgb="FFFFFFFF"/>
      </patternFill>
    </fill>
    <fill>
      <patternFill patternType="solid">
        <fgColor rgb="FFEAF2F8"/>
        <bgColor rgb="FFFFFFFF"/>
      </patternFill>
    </fill>
    <fill>
      <patternFill patternType="solid">
        <fgColor rgb="FFFFF2F2"/>
        <bgColor rgb="FFFF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0" fontId="3" fillId="0" borderId="3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0" fontId="15" fillId="4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1" applyFont="1"/>
    <xf numFmtId="0" fontId="18" fillId="0" borderId="0" xfId="0" applyFont="1"/>
    <xf numFmtId="0" fontId="19" fillId="0" borderId="0" xfId="0" applyFont="1"/>
    <xf numFmtId="0" fontId="14" fillId="0" borderId="0" xfId="0" applyFont="1" applyAlignment="1">
      <alignment wrapText="1"/>
    </xf>
    <xf numFmtId="0" fontId="20" fillId="6" borderId="0" xfId="0" applyFont="1" applyFill="1" applyAlignment="1">
      <alignment vertical="center" wrapText="1"/>
    </xf>
    <xf numFmtId="0" fontId="15" fillId="9" borderId="1" xfId="0" applyFont="1" applyFill="1" applyBorder="1" applyAlignment="1">
      <alignment horizontal="center" vertical="center"/>
    </xf>
    <xf numFmtId="0" fontId="21" fillId="0" borderId="0" xfId="0" applyFont="1"/>
    <xf numFmtId="2" fontId="3" fillId="0" borderId="1" xfId="0" applyNumberFormat="1" applyFont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" fontId="10" fillId="0" borderId="0" xfId="0" applyNumberFormat="1" applyFont="1" applyAlignment="1">
      <alignment vertical="center"/>
    </xf>
    <xf numFmtId="0" fontId="9" fillId="7" borderId="4" xfId="0" applyFont="1" applyFill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0" fillId="0" borderId="0" xfId="0" applyNumberFormat="1"/>
    <xf numFmtId="2" fontId="10" fillId="8" borderId="4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15" fillId="4" borderId="1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5" fillId="3" borderId="0" xfId="0" applyFont="1" applyFill="1"/>
    <xf numFmtId="0" fontId="8" fillId="0" borderId="0" xfId="0" applyFont="1" applyAlignment="1">
      <alignment horizontal="center" wrapText="1"/>
    </xf>
    <xf numFmtId="0" fontId="16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BBBBB"/>
      <rgbColor rgb="FF878787"/>
      <rgbColor rgb="FF9999FF"/>
      <rgbColor rgb="FFBE4B48"/>
      <rgbColor rgb="FFFFF6CC"/>
      <rgbColor rgb="FFEAF2F8"/>
      <rgbColor rgb="FF660066"/>
      <rgbColor rgb="FFFF8080"/>
      <rgbColor rgb="FF2E6DA4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33CCCC"/>
      <rgbColor rgb="FF98B855"/>
      <rgbColor rgb="FFFFCC00"/>
      <rgbColor rgb="FFFF9900"/>
      <rgbColor rgb="FFFF6600"/>
      <rgbColor rgb="FF7D5FA0"/>
      <rgbColor rgb="FF777777"/>
      <rgbColor rgb="FF1F3A5F"/>
      <rgbColor rgb="FF4F81BD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F(Z) - effetto del drenaggio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779002624671916"/>
          <c:y val="0.19501261163721981"/>
          <c:w val="0.8421213910761155"/>
          <c:h val="0.64585795774215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ANALISI!$E$5</c:f>
              <c:strCache>
                <c:ptCount val="1"/>
                <c:pt idx="0">
                  <c:v>F saturo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ANALISI!$E$6:$E$25</c:f>
              <c:numCache>
                <c:formatCode>0.000</c:formatCode>
                <c:ptCount val="20"/>
                <c:pt idx="0">
                  <c:v>1.0314904613595932</c:v>
                </c:pt>
                <c:pt idx="1">
                  <c:v>1.0314904613595932</c:v>
                </c:pt>
                <c:pt idx="2">
                  <c:v>1.0314904613595928</c:v>
                </c:pt>
                <c:pt idx="3">
                  <c:v>1.0314904613595932</c:v>
                </c:pt>
                <c:pt idx="4">
                  <c:v>1.0314904613595928</c:v>
                </c:pt>
                <c:pt idx="5">
                  <c:v>1.0314904613595928</c:v>
                </c:pt>
                <c:pt idx="6">
                  <c:v>1.031490461359593</c:v>
                </c:pt>
                <c:pt idx="7">
                  <c:v>1.0314904613595932</c:v>
                </c:pt>
                <c:pt idx="8">
                  <c:v>1.0314904613595932</c:v>
                </c:pt>
                <c:pt idx="9">
                  <c:v>1.0314904613595928</c:v>
                </c:pt>
                <c:pt idx="10">
                  <c:v>1.031490461359593</c:v>
                </c:pt>
                <c:pt idx="11">
                  <c:v>1.0314904613595928</c:v>
                </c:pt>
                <c:pt idx="12">
                  <c:v>1.031490461359593</c:v>
                </c:pt>
                <c:pt idx="13">
                  <c:v>1.031490461359593</c:v>
                </c:pt>
                <c:pt idx="14">
                  <c:v>1.031490461359593</c:v>
                </c:pt>
                <c:pt idx="15">
                  <c:v>1.0314904613595932</c:v>
                </c:pt>
                <c:pt idx="16">
                  <c:v>1.031490461359593</c:v>
                </c:pt>
                <c:pt idx="17">
                  <c:v>1.0314904613595932</c:v>
                </c:pt>
                <c:pt idx="18">
                  <c:v>1.031490461359593</c:v>
                </c:pt>
                <c:pt idx="19">
                  <c:v>1.0314904613595928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2-40EC-84B5-99CBC1674894}"/>
            </c:ext>
          </c:extLst>
        </c:ser>
        <c:ser>
          <c:idx val="2"/>
          <c:order val="1"/>
          <c:tx>
            <c:strRef>
              <c:f>ANALISI!$G$5</c:f>
              <c:strCache>
                <c:ptCount val="1"/>
                <c:pt idx="0">
                  <c:v>F asciutto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ANALISI!$G$6:$G$25</c:f>
              <c:numCache>
                <c:formatCode>0.000</c:formatCode>
                <c:ptCount val="20"/>
                <c:pt idx="0">
                  <c:v>2.132570050689039</c:v>
                </c:pt>
                <c:pt idx="1">
                  <c:v>2.132570050689039</c:v>
                </c:pt>
                <c:pt idx="2">
                  <c:v>2.1325700506890386</c:v>
                </c:pt>
                <c:pt idx="3">
                  <c:v>2.132570050689039</c:v>
                </c:pt>
                <c:pt idx="4">
                  <c:v>2.132570050689039</c:v>
                </c:pt>
                <c:pt idx="5">
                  <c:v>2.1325700506890386</c:v>
                </c:pt>
                <c:pt idx="6">
                  <c:v>2.132570050689039</c:v>
                </c:pt>
                <c:pt idx="7">
                  <c:v>2.132570050689039</c:v>
                </c:pt>
                <c:pt idx="8">
                  <c:v>2.1325700506890395</c:v>
                </c:pt>
                <c:pt idx="9">
                  <c:v>2.132570050689039</c:v>
                </c:pt>
                <c:pt idx="10">
                  <c:v>2.132570050689039</c:v>
                </c:pt>
                <c:pt idx="11">
                  <c:v>2.1325700506890386</c:v>
                </c:pt>
                <c:pt idx="12">
                  <c:v>2.132570050689039</c:v>
                </c:pt>
                <c:pt idx="13">
                  <c:v>2.132570050689039</c:v>
                </c:pt>
                <c:pt idx="14">
                  <c:v>2.132570050689039</c:v>
                </c:pt>
                <c:pt idx="15">
                  <c:v>2.132570050689039</c:v>
                </c:pt>
                <c:pt idx="16">
                  <c:v>2.132570050689039</c:v>
                </c:pt>
                <c:pt idx="17">
                  <c:v>2.1325700506890395</c:v>
                </c:pt>
                <c:pt idx="18">
                  <c:v>2.132570050689039</c:v>
                </c:pt>
                <c:pt idx="19">
                  <c:v>2.132570050689039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2-40EC-84B5-99CBC1674894}"/>
            </c:ext>
          </c:extLst>
        </c:ser>
        <c:ser>
          <c:idx val="1"/>
          <c:order val="2"/>
          <c:tx>
            <c:strRef>
              <c:f>ANALISI!$F$5</c:f>
              <c:strCache>
                <c:ptCount val="1"/>
                <c:pt idx="0">
                  <c:v>F iniziale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ANALISI!$F$6:$F$25</c:f>
              <c:numCache>
                <c:formatCode>0.000</c:formatCode>
                <c:ptCount val="20"/>
                <c:pt idx="0">
                  <c:v>2.132570050689039</c:v>
                </c:pt>
                <c:pt idx="1">
                  <c:v>2.132570050689039</c:v>
                </c:pt>
                <c:pt idx="2">
                  <c:v>1.765543520912557</c:v>
                </c:pt>
                <c:pt idx="3">
                  <c:v>1.5820302560243162</c:v>
                </c:pt>
                <c:pt idx="4">
                  <c:v>1.4719222970913712</c:v>
                </c:pt>
                <c:pt idx="5">
                  <c:v>1.3985169911360749</c:v>
                </c:pt>
                <c:pt idx="6">
                  <c:v>1.3460846297394347</c:v>
                </c:pt>
                <c:pt idx="7">
                  <c:v>1.3067603586919547</c:v>
                </c:pt>
                <c:pt idx="8">
                  <c:v>1.2761748145439147</c:v>
                </c:pt>
                <c:pt idx="9">
                  <c:v>1.2517063792254821</c:v>
                </c:pt>
                <c:pt idx="10">
                  <c:v>1.2316867503285831</c:v>
                </c:pt>
                <c:pt idx="11">
                  <c:v>1.2150037262478339</c:v>
                </c:pt>
                <c:pt idx="12">
                  <c:v>1.2008873212564308</c:v>
                </c:pt>
                <c:pt idx="13">
                  <c:v>1.1887875455495138</c:v>
                </c:pt>
                <c:pt idx="14">
                  <c:v>1.1783010732701857</c:v>
                </c:pt>
                <c:pt idx="15">
                  <c:v>1.169125410025774</c:v>
                </c:pt>
                <c:pt idx="16">
                  <c:v>1.161029236574822</c:v>
                </c:pt>
                <c:pt idx="17">
                  <c:v>1.1538326379517541</c:v>
                </c:pt>
                <c:pt idx="18">
                  <c:v>1.1473935760258505</c:v>
                </c:pt>
                <c:pt idx="19">
                  <c:v>1.1415984202925373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2-40EC-84B5-99CBC167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05247"/>
        <c:axId val="2019492175"/>
      </c:scatterChart>
      <c:valAx>
        <c:axId val="2017305247"/>
        <c:scaling>
          <c:orientation val="minMax"/>
          <c:max val="5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9492175"/>
        <c:crosses val="autoZero"/>
        <c:crossBetween val="midCat"/>
      </c:valAx>
      <c:valAx>
        <c:axId val="20194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F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73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Abaco_Efficienza_n1!$A$5:$A$33</c:f>
              <c:numCache>
                <c:formatCode>0.00</c:formatCode>
                <c:ptCount val="29"/>
                <c:pt idx="0">
                  <c:v>0.53713690553165305</c:v>
                </c:pt>
                <c:pt idx="1">
                  <c:v>0.79268271371501897</c:v>
                </c:pt>
                <c:pt idx="2">
                  <c:v>1.0186601984502801</c:v>
                </c:pt>
                <c:pt idx="3">
                  <c:v>1.18527036142557</c:v>
                </c:pt>
                <c:pt idx="4">
                  <c:v>1.3460088005955599</c:v>
                </c:pt>
                <c:pt idx="5">
                  <c:v>1.4619893260449399</c:v>
                </c:pt>
                <c:pt idx="6">
                  <c:v>1.61095227942881</c:v>
                </c:pt>
                <c:pt idx="7">
                  <c:v>1.7226926979755399</c:v>
                </c:pt>
                <c:pt idx="8">
                  <c:v>1.87577692575648</c:v>
                </c:pt>
                <c:pt idx="9">
                  <c:v>2.0495549023651201</c:v>
                </c:pt>
                <c:pt idx="10">
                  <c:v>2.23978885094792</c:v>
                </c:pt>
                <c:pt idx="11">
                  <c:v>2.4010282506806702</c:v>
                </c:pt>
                <c:pt idx="12">
                  <c:v>2.5746023479905098</c:v>
                </c:pt>
                <c:pt idx="13">
                  <c:v>2.7316476592908998</c:v>
                </c:pt>
                <c:pt idx="14">
                  <c:v>2.9381919517772999</c:v>
                </c:pt>
                <c:pt idx="15">
                  <c:v>3.2231860858786199</c:v>
                </c:pt>
                <c:pt idx="16">
                  <c:v>3.4131579039344002</c:v>
                </c:pt>
                <c:pt idx="17">
                  <c:v>3.6484928659720799</c:v>
                </c:pt>
                <c:pt idx="18">
                  <c:v>3.8837695767815301</c:v>
                </c:pt>
                <c:pt idx="19">
                  <c:v>4.1066533387856499</c:v>
                </c:pt>
                <c:pt idx="20">
                  <c:v>4.2758585939784499</c:v>
                </c:pt>
                <c:pt idx="21">
                  <c:v>4.5110624907526198</c:v>
                </c:pt>
                <c:pt idx="22">
                  <c:v>4.7421451130000003</c:v>
                </c:pt>
                <c:pt idx="23">
                  <c:v>4.96076197266619</c:v>
                </c:pt>
                <c:pt idx="24">
                  <c:v>5.1917717810079997</c:v>
                </c:pt>
                <c:pt idx="25">
                  <c:v>5.4268737381327696</c:v>
                </c:pt>
                <c:pt idx="26">
                  <c:v>5.6949458899999996</c:v>
                </c:pt>
                <c:pt idx="27">
                  <c:v>5.8970048383470202</c:v>
                </c:pt>
                <c:pt idx="28">
                  <c:v>5.9794740147096004</c:v>
                </c:pt>
              </c:numCache>
            </c:numRef>
          </c:xVal>
          <c:yVal>
            <c:numRef>
              <c:f>Abaco_Efficienza_n1!$B$5:$B$33</c:f>
              <c:numCache>
                <c:formatCode>General</c:formatCode>
                <c:ptCount val="29"/>
                <c:pt idx="0">
                  <c:v>0.99767600692015723</c:v>
                </c:pt>
                <c:pt idx="1">
                  <c:v>0.97388903282604333</c:v>
                </c:pt>
                <c:pt idx="2">
                  <c:v>0.94300696824279684</c:v>
                </c:pt>
                <c:pt idx="3">
                  <c:v>0.91348193012106049</c:v>
                </c:pt>
                <c:pt idx="4">
                  <c:v>0.87971104567581615</c:v>
                </c:pt>
                <c:pt idx="5">
                  <c:v>0.85151191652828195</c:v>
                </c:pt>
                <c:pt idx="6">
                  <c:v>0.81140892158660027</c:v>
                </c:pt>
                <c:pt idx="7">
                  <c:v>0.78010508214893026</c:v>
                </c:pt>
                <c:pt idx="8">
                  <c:v>0.74000601956527368</c:v>
                </c:pt>
                <c:pt idx="9">
                  <c:v>0.69403702455606031</c:v>
                </c:pt>
                <c:pt idx="10">
                  <c:v>0.65004603283873663</c:v>
                </c:pt>
                <c:pt idx="11">
                  <c:v>0.61584395059617014</c:v>
                </c:pt>
                <c:pt idx="12">
                  <c:v>0.58361693513342527</c:v>
                </c:pt>
                <c:pt idx="13">
                  <c:v>0.55431805970115433</c:v>
                </c:pt>
                <c:pt idx="14">
                  <c:v>0.52212200709922252</c:v>
                </c:pt>
                <c:pt idx="15">
                  <c:v>0.48018398761314096</c:v>
                </c:pt>
                <c:pt idx="16">
                  <c:v>0.45386101259042255</c:v>
                </c:pt>
                <c:pt idx="17">
                  <c:v>0.42561801467223936</c:v>
                </c:pt>
                <c:pt idx="18">
                  <c:v>0.40130104280889517</c:v>
                </c:pt>
                <c:pt idx="19">
                  <c:v>0.37893596709988236</c:v>
                </c:pt>
                <c:pt idx="20">
                  <c:v>0.36339003479601178</c:v>
                </c:pt>
                <c:pt idx="21">
                  <c:v>0.34398095776901427</c:v>
                </c:pt>
                <c:pt idx="22">
                  <c:v>0.32456799210666054</c:v>
                </c:pt>
                <c:pt idx="23">
                  <c:v>0.31201400156949066</c:v>
                </c:pt>
                <c:pt idx="24">
                  <c:v>0.29750801323177978</c:v>
                </c:pt>
                <c:pt idx="25">
                  <c:v>0.2849700129483701</c:v>
                </c:pt>
                <c:pt idx="26">
                  <c:v>0.272462004604131</c:v>
                </c:pt>
                <c:pt idx="27">
                  <c:v>0.26480000568818124</c:v>
                </c:pt>
                <c:pt idx="28">
                  <c:v>0.26193299949189908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3-4B16-BEFD-19BFD31D605D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Abaco_Efficienza_n1!$D$5:$D$23</c:f>
              <c:numCache>
                <c:formatCode>0.00</c:formatCode>
                <c:ptCount val="19"/>
                <c:pt idx="0">
                  <c:v>0.94325048843654902</c:v>
                </c:pt>
                <c:pt idx="1">
                  <c:v>1.1338927781292301</c:v>
                </c:pt>
                <c:pt idx="2">
                  <c:v>1.38409112356134</c:v>
                </c:pt>
                <c:pt idx="3">
                  <c:v>1.54489247405782</c:v>
                </c:pt>
                <c:pt idx="4">
                  <c:v>1.7295791579999999</c:v>
                </c:pt>
                <c:pt idx="5">
                  <c:v>1.9319648954798201</c:v>
                </c:pt>
                <c:pt idx="6">
                  <c:v>2.16410769021065</c:v>
                </c:pt>
                <c:pt idx="7">
                  <c:v>2.4496831715696699</c:v>
                </c:pt>
                <c:pt idx="8">
                  <c:v>2.7946679155730001</c:v>
                </c:pt>
                <c:pt idx="9">
                  <c:v>3.0503395464093401</c:v>
                </c:pt>
                <c:pt idx="10">
                  <c:v>3.3595067752003498</c:v>
                </c:pt>
                <c:pt idx="11">
                  <c:v>3.6507233055008999</c:v>
                </c:pt>
                <c:pt idx="12">
                  <c:v>3.9597227707546199</c:v>
                </c:pt>
                <c:pt idx="13">
                  <c:v>4.2568319949999998</c:v>
                </c:pt>
                <c:pt idx="14">
                  <c:v>4.5657266083455399</c:v>
                </c:pt>
                <c:pt idx="15">
                  <c:v>4.9458787838541598</c:v>
                </c:pt>
                <c:pt idx="16">
                  <c:v>5.3556621941373601</c:v>
                </c:pt>
                <c:pt idx="17">
                  <c:v>5.7475578172565802</c:v>
                </c:pt>
                <c:pt idx="18">
                  <c:v>5.9909407689861096</c:v>
                </c:pt>
              </c:numCache>
            </c:numRef>
          </c:xVal>
          <c:yVal>
            <c:numRef>
              <c:f>Abaco_Efficienza_n1!$E$5:$E$23</c:f>
              <c:numCache>
                <c:formatCode>General</c:formatCode>
                <c:ptCount val="19"/>
                <c:pt idx="0">
                  <c:v>0.82562087462588463</c:v>
                </c:pt>
                <c:pt idx="1">
                  <c:v>0.77633105777126998</c:v>
                </c:pt>
                <c:pt idx="2">
                  <c:v>0.71296197075501255</c:v>
                </c:pt>
                <c:pt idx="3">
                  <c:v>0.67495088027814931</c:v>
                </c:pt>
                <c:pt idx="4">
                  <c:v>0.62706896283528801</c:v>
                </c:pt>
                <c:pt idx="5">
                  <c:v>0.58627002031622899</c:v>
                </c:pt>
                <c:pt idx="6">
                  <c:v>0.53984605860070167</c:v>
                </c:pt>
                <c:pt idx="7">
                  <c:v>0.49205797302917026</c:v>
                </c:pt>
                <c:pt idx="8">
                  <c:v>0.44008601145526965</c:v>
                </c:pt>
                <c:pt idx="9">
                  <c:v>0.40781805651340991</c:v>
                </c:pt>
                <c:pt idx="10">
                  <c:v>0.36994702489743408</c:v>
                </c:pt>
                <c:pt idx="11">
                  <c:v>0.34195297341632114</c:v>
                </c:pt>
                <c:pt idx="12">
                  <c:v>0.31538902010155584</c:v>
                </c:pt>
                <c:pt idx="13">
                  <c:v>0.29022700037192067</c:v>
                </c:pt>
                <c:pt idx="14">
                  <c:v>0.27073102306481556</c:v>
                </c:pt>
                <c:pt idx="15">
                  <c:v>0.24847401175645209</c:v>
                </c:pt>
                <c:pt idx="16">
                  <c:v>0.22907199187550092</c:v>
                </c:pt>
                <c:pt idx="17">
                  <c:v>0.21530700465131153</c:v>
                </c:pt>
                <c:pt idx="18">
                  <c:v>0.21129600147187222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D3-4B16-BEFD-19BFD31D605D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Abaco_Efficienza_n1!$G$4:$G$5</c:f>
              <c:numCache>
                <c:formatCode>0.00</c:formatCode>
                <c:ptCount val="2"/>
                <c:pt idx="0" formatCode="0.000">
                  <c:v>2.6</c:v>
                </c:pt>
                <c:pt idx="1">
                  <c:v>2.6</c:v>
                </c:pt>
              </c:numCache>
            </c:numRef>
          </c:xVal>
          <c:yVal>
            <c:numRef>
              <c:f>Abaco_Efficienza_n1!$H$4:$H$5</c:f>
              <c:numCache>
                <c:formatCode>0.00</c:formatCode>
                <c:ptCount val="2"/>
                <c:pt idx="0" formatCode="0.000">
                  <c:v>0.57884248708615071</c:v>
                </c:pt>
                <c:pt idx="1">
                  <c:v>0.46854604794347604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3-4B16-BEFD-19BFD31D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'Abaco_Efficienza_n1,5'!$A$5:$A$33</c:f>
              <c:numCache>
                <c:formatCode>0.00</c:formatCode>
                <c:ptCount val="29"/>
                <c:pt idx="0">
                  <c:v>0.505</c:v>
                </c:pt>
                <c:pt idx="1">
                  <c:v>0.73714439300000001</c:v>
                </c:pt>
                <c:pt idx="2">
                  <c:v>0.97996743100000006</c:v>
                </c:pt>
                <c:pt idx="3">
                  <c:v>1.2083930949999999</c:v>
                </c:pt>
                <c:pt idx="4">
                  <c:v>1.407941557</c:v>
                </c:pt>
                <c:pt idx="5">
                  <c:v>1.5988394050000001</c:v>
                </c:pt>
                <c:pt idx="6">
                  <c:v>1.786858496</c:v>
                </c:pt>
                <c:pt idx="7">
                  <c:v>1.9864392230000001</c:v>
                </c:pt>
                <c:pt idx="8">
                  <c:v>2.151317116</c:v>
                </c:pt>
                <c:pt idx="9">
                  <c:v>2.40584519</c:v>
                </c:pt>
                <c:pt idx="10">
                  <c:v>2.761563572</c:v>
                </c:pt>
                <c:pt idx="11">
                  <c:v>3.189548453</c:v>
                </c:pt>
                <c:pt idx="12">
                  <c:v>3.4873869540000002</c:v>
                </c:pt>
                <c:pt idx="13">
                  <c:v>3.7909758010000001</c:v>
                </c:pt>
                <c:pt idx="14">
                  <c:v>4.1523692429999999</c:v>
                </c:pt>
                <c:pt idx="15">
                  <c:v>4.4125723780000001</c:v>
                </c:pt>
                <c:pt idx="16">
                  <c:v>4.626489533</c:v>
                </c:pt>
                <c:pt idx="17">
                  <c:v>4.9386931430000001</c:v>
                </c:pt>
                <c:pt idx="18">
                  <c:v>5.2711125870000002</c:v>
                </c:pt>
                <c:pt idx="19">
                  <c:v>5.4936803559999996</c:v>
                </c:pt>
                <c:pt idx="20">
                  <c:v>5.7538153760000004</c:v>
                </c:pt>
                <c:pt idx="21">
                  <c:v>5.9301258450000001</c:v>
                </c:pt>
                <c:pt idx="22">
                  <c:v>5.9820000000000002</c:v>
                </c:pt>
              </c:numCache>
            </c:numRef>
          </c:xVal>
          <c:yVal>
            <c:numRef>
              <c:f>'Abaco_Efficienza_n1,5'!$B$5:$B$33</c:f>
              <c:numCache>
                <c:formatCode>General</c:formatCode>
                <c:ptCount val="29"/>
                <c:pt idx="0">
                  <c:v>0.99975862087987266</c:v>
                </c:pt>
                <c:pt idx="1">
                  <c:v>0.98529497397612187</c:v>
                </c:pt>
                <c:pt idx="2">
                  <c:v>0.96518495439603003</c:v>
                </c:pt>
                <c:pt idx="3">
                  <c:v>0.93543298560926225</c:v>
                </c:pt>
                <c:pt idx="4">
                  <c:v>0.90224907981634594</c:v>
                </c:pt>
                <c:pt idx="5">
                  <c:v>0.86562191783408826</c:v>
                </c:pt>
                <c:pt idx="6">
                  <c:v>0.82692990008827449</c:v>
                </c:pt>
                <c:pt idx="7">
                  <c:v>0.78754195506123659</c:v>
                </c:pt>
                <c:pt idx="8">
                  <c:v>0.75368597648373437</c:v>
                </c:pt>
                <c:pt idx="9">
                  <c:v>0.70530996604731688</c:v>
                </c:pt>
                <c:pt idx="10">
                  <c:v>0.64585606765730852</c:v>
                </c:pt>
                <c:pt idx="11">
                  <c:v>0.58085193323324547</c:v>
                </c:pt>
                <c:pt idx="12">
                  <c:v>0.53865800607996528</c:v>
                </c:pt>
                <c:pt idx="13">
                  <c:v>0.50197602222042759</c:v>
                </c:pt>
                <c:pt idx="14">
                  <c:v>0.46250797263050947</c:v>
                </c:pt>
                <c:pt idx="15">
                  <c:v>0.43411896395518645</c:v>
                </c:pt>
                <c:pt idx="16">
                  <c:v>0.41609103820733273</c:v>
                </c:pt>
                <c:pt idx="17">
                  <c:v>0.38974398848089664</c:v>
                </c:pt>
                <c:pt idx="18">
                  <c:v>0.36545402850490388</c:v>
                </c:pt>
                <c:pt idx="19">
                  <c:v>0.35086897900711944</c:v>
                </c:pt>
                <c:pt idx="20">
                  <c:v>0.3355759737962446</c:v>
                </c:pt>
                <c:pt idx="21">
                  <c:v>0.32583900176654346</c:v>
                </c:pt>
                <c:pt idx="22">
                  <c:v>0.32649676328988186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C-4BD3-9FA8-68EDFF1CFF67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'Abaco_Efficienza_n1,5'!$D$5:$D$23</c:f>
              <c:numCache>
                <c:formatCode>0.00</c:formatCode>
                <c:ptCount val="19"/>
                <c:pt idx="0">
                  <c:v>0.51</c:v>
                </c:pt>
                <c:pt idx="1">
                  <c:v>0.62468641999999996</c:v>
                </c:pt>
                <c:pt idx="2">
                  <c:v>0.79531465899999998</c:v>
                </c:pt>
                <c:pt idx="3">
                  <c:v>0.99488463000000005</c:v>
                </c:pt>
                <c:pt idx="4">
                  <c:v>1.289916074</c:v>
                </c:pt>
                <c:pt idx="5">
                  <c:v>1.602298934</c:v>
                </c:pt>
                <c:pt idx="6">
                  <c:v>1.9840767050000001</c:v>
                </c:pt>
                <c:pt idx="7">
                  <c:v>2.2588313690000001</c:v>
                </c:pt>
                <c:pt idx="8">
                  <c:v>2.5827185049999999</c:v>
                </c:pt>
                <c:pt idx="9">
                  <c:v>2.9933268750000002</c:v>
                </c:pt>
                <c:pt idx="10">
                  <c:v>3.3836692190000002</c:v>
                </c:pt>
                <c:pt idx="11">
                  <c:v>3.721950144</c:v>
                </c:pt>
                <c:pt idx="12">
                  <c:v>4.0746607079999997</c:v>
                </c:pt>
                <c:pt idx="13">
                  <c:v>4.5053917019999998</c:v>
                </c:pt>
                <c:pt idx="14">
                  <c:v>5.0546034740000003</c:v>
                </c:pt>
                <c:pt idx="15">
                  <c:v>5.4043420700000002</c:v>
                </c:pt>
                <c:pt idx="16">
                  <c:v>5.6847000940000001</c:v>
                </c:pt>
                <c:pt idx="17">
                  <c:v>5.9188008190000003</c:v>
                </c:pt>
                <c:pt idx="18">
                  <c:v>5.9749999999999996</c:v>
                </c:pt>
              </c:numCache>
            </c:numRef>
          </c:xVal>
          <c:yVal>
            <c:numRef>
              <c:f>'Abaco_Efficienza_n1,5'!$E$5:$E$23</c:f>
              <c:numCache>
                <c:formatCode>General</c:formatCode>
                <c:ptCount val="19"/>
                <c:pt idx="0">
                  <c:v>0.96185647165894184</c:v>
                </c:pt>
                <c:pt idx="1">
                  <c:v>0.94054792838570966</c:v>
                </c:pt>
                <c:pt idx="2">
                  <c:v>0.91220305889361364</c:v>
                </c:pt>
                <c:pt idx="3">
                  <c:v>0.8748830721663502</c:v>
                </c:pt>
                <c:pt idx="4">
                  <c:v>0.81683698538496374</c:v>
                </c:pt>
                <c:pt idx="5">
                  <c:v>0.75602601248757073</c:v>
                </c:pt>
                <c:pt idx="6">
                  <c:v>0.68622005310367951</c:v>
                </c:pt>
                <c:pt idx="7">
                  <c:v>0.63783393808430244</c:v>
                </c:pt>
                <c:pt idx="8">
                  <c:v>0.58735607274512935</c:v>
                </c:pt>
                <c:pt idx="9">
                  <c:v>0.52994301661924403</c:v>
                </c:pt>
                <c:pt idx="10">
                  <c:v>0.48012097300128992</c:v>
                </c:pt>
                <c:pt idx="11">
                  <c:v>0.43997598381478048</c:v>
                </c:pt>
                <c:pt idx="12">
                  <c:v>0.40326902794479452</c:v>
                </c:pt>
                <c:pt idx="13">
                  <c:v>0.36583402372155555</c:v>
                </c:pt>
                <c:pt idx="14">
                  <c:v>0.32627296951271029</c:v>
                </c:pt>
                <c:pt idx="15">
                  <c:v>0.30542099613394169</c:v>
                </c:pt>
                <c:pt idx="16">
                  <c:v>0.29080699537558563</c:v>
                </c:pt>
                <c:pt idx="17">
                  <c:v>0.28104100526018566</c:v>
                </c:pt>
                <c:pt idx="18">
                  <c:v>0.27966509386849953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C-4BD3-9FA8-68EDFF1CFF67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'Abaco_Efficienza_n1,5'!$G$5:$G$25</c:f>
              <c:numCache>
                <c:formatCode>0.00</c:formatCode>
                <c:ptCount val="21"/>
                <c:pt idx="0">
                  <c:v>0.51</c:v>
                </c:pt>
                <c:pt idx="1">
                  <c:v>0.674999935</c:v>
                </c:pt>
                <c:pt idx="2">
                  <c:v>0.978936527</c:v>
                </c:pt>
                <c:pt idx="3">
                  <c:v>1.2703904239999999</c:v>
                </c:pt>
                <c:pt idx="4">
                  <c:v>1.5160537890000001</c:v>
                </c:pt>
                <c:pt idx="5">
                  <c:v>1.803346787</c:v>
                </c:pt>
                <c:pt idx="6">
                  <c:v>2.0781416030000002</c:v>
                </c:pt>
                <c:pt idx="7">
                  <c:v>2.2946270549999999</c:v>
                </c:pt>
                <c:pt idx="8">
                  <c:v>2.5569082010000002</c:v>
                </c:pt>
                <c:pt idx="9">
                  <c:v>2.8316617179999999</c:v>
                </c:pt>
                <c:pt idx="10">
                  <c:v>3.0772734590000002</c:v>
                </c:pt>
                <c:pt idx="11">
                  <c:v>3.4102898779999999</c:v>
                </c:pt>
                <c:pt idx="12">
                  <c:v>3.6891888050000001</c:v>
                </c:pt>
                <c:pt idx="13">
                  <c:v>4.0013645960000002</c:v>
                </c:pt>
                <c:pt idx="14">
                  <c:v>4.3801302470000003</c:v>
                </c:pt>
                <c:pt idx="15">
                  <c:v>4.7047680830000003</c:v>
                </c:pt>
                <c:pt idx="16">
                  <c:v>4.9961032449999996</c:v>
                </c:pt>
                <c:pt idx="17">
                  <c:v>5.3290473900000004</c:v>
                </c:pt>
                <c:pt idx="18">
                  <c:v>5.645337617</c:v>
                </c:pt>
                <c:pt idx="19">
                  <c:v>5.8326038569999996</c:v>
                </c:pt>
                <c:pt idx="20">
                  <c:v>5.9740898900000001</c:v>
                </c:pt>
              </c:numCache>
            </c:numRef>
          </c:xVal>
          <c:yVal>
            <c:numRef>
              <c:f>'Abaco_Efficienza_n1,5'!$H$5:$H$25</c:f>
              <c:numCache>
                <c:formatCode>General</c:formatCode>
                <c:ptCount val="21"/>
                <c:pt idx="0">
                  <c:v>0.64458720086942012</c:v>
                </c:pt>
                <c:pt idx="1">
                  <c:v>0.62249100823267378</c:v>
                </c:pt>
                <c:pt idx="2">
                  <c:v>0.58561605732953581</c:v>
                </c:pt>
                <c:pt idx="3">
                  <c:v>0.54874694394224877</c:v>
                </c:pt>
                <c:pt idx="4">
                  <c:v>0.51587002783110703</c:v>
                </c:pt>
                <c:pt idx="5">
                  <c:v>0.47900302717362297</c:v>
                </c:pt>
                <c:pt idx="6">
                  <c:v>0.44512004477023287</c:v>
                </c:pt>
                <c:pt idx="7">
                  <c:v>0.42218399419604108</c:v>
                </c:pt>
                <c:pt idx="8">
                  <c:v>0.39426197968414772</c:v>
                </c:pt>
                <c:pt idx="9">
                  <c:v>0.36831902633238928</c:v>
                </c:pt>
                <c:pt idx="10">
                  <c:v>0.34536895892409408</c:v>
                </c:pt>
                <c:pt idx="11">
                  <c:v>0.31741201020776527</c:v>
                </c:pt>
                <c:pt idx="12">
                  <c:v>0.29444401473174026</c:v>
                </c:pt>
                <c:pt idx="13">
                  <c:v>0.27344602603946644</c:v>
                </c:pt>
                <c:pt idx="14">
                  <c:v>0.24943698566898778</c:v>
                </c:pt>
                <c:pt idx="15">
                  <c:v>0.23240199587761079</c:v>
                </c:pt>
                <c:pt idx="16">
                  <c:v>0.21836198890129296</c:v>
                </c:pt>
                <c:pt idx="17">
                  <c:v>0.20430098400329794</c:v>
                </c:pt>
                <c:pt idx="18">
                  <c:v>0.19223301218841726</c:v>
                </c:pt>
                <c:pt idx="19">
                  <c:v>0.18717700331077528</c:v>
                </c:pt>
                <c:pt idx="20">
                  <c:v>0.18412900225405332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C-4BD3-9FA8-68EDFF1CFF67}"/>
            </c:ext>
          </c:extLst>
        </c:ser>
        <c:ser>
          <c:idx val="2"/>
          <c:order val="3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'Abaco_Efficienza_n1,5'!$J$4:$J$6</c:f>
              <c:numCache>
                <c:formatCode>0.00</c:formatCode>
                <c:ptCount val="3"/>
                <c:pt idx="0" formatCode="0.000">
                  <c:v>2.6</c:v>
                </c:pt>
                <c:pt idx="1">
                  <c:v>2.6</c:v>
                </c:pt>
                <c:pt idx="2" formatCode="0.000">
                  <c:v>2.6</c:v>
                </c:pt>
              </c:numCache>
            </c:numRef>
          </c:xVal>
          <c:yVal>
            <c:numRef>
              <c:f>'Abaco_Efficienza_n1,5'!$K$4:$K$6</c:f>
              <c:numCache>
                <c:formatCode>0.00</c:formatCode>
                <c:ptCount val="3"/>
                <c:pt idx="0" formatCode="0.000">
                  <c:v>0.67196032124007499</c:v>
                </c:pt>
                <c:pt idx="1">
                  <c:v>0.58482176114272932</c:v>
                </c:pt>
                <c:pt idx="2" formatCode="0.000">
                  <c:v>0.38998342091353705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C-4BD3-9FA8-68EDFF1C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'Abaco_Efficienza_n2,5'!$A$5:$A$33</c:f>
              <c:numCache>
                <c:formatCode>0.00</c:formatCode>
                <c:ptCount val="29"/>
                <c:pt idx="0">
                  <c:v>0.63471732400000003</c:v>
                </c:pt>
                <c:pt idx="1">
                  <c:v>0.82756861999999998</c:v>
                </c:pt>
                <c:pt idx="2">
                  <c:v>1.005062892</c:v>
                </c:pt>
                <c:pt idx="3">
                  <c:v>1.163477793</c:v>
                </c:pt>
                <c:pt idx="4">
                  <c:v>1.294994521</c:v>
                </c:pt>
                <c:pt idx="5">
                  <c:v>1.438208275</c:v>
                </c:pt>
                <c:pt idx="6">
                  <c:v>1.604753731</c:v>
                </c:pt>
                <c:pt idx="7">
                  <c:v>1.7248851869999999</c:v>
                </c:pt>
                <c:pt idx="8">
                  <c:v>1.961207522</c:v>
                </c:pt>
                <c:pt idx="9">
                  <c:v>2.1935581059999998</c:v>
                </c:pt>
                <c:pt idx="10">
                  <c:v>2.4064863879999998</c:v>
                </c:pt>
                <c:pt idx="11">
                  <c:v>2.6076864679999998</c:v>
                </c:pt>
                <c:pt idx="12">
                  <c:v>3.0021743000000001</c:v>
                </c:pt>
                <c:pt idx="13">
                  <c:v>3.210974953</c:v>
                </c:pt>
                <c:pt idx="14">
                  <c:v>3.4660337299999999</c:v>
                </c:pt>
                <c:pt idx="15">
                  <c:v>3.7364183560000002</c:v>
                </c:pt>
                <c:pt idx="16">
                  <c:v>4.0029247549999996</c:v>
                </c:pt>
                <c:pt idx="17">
                  <c:v>4.2306800789999999</c:v>
                </c:pt>
                <c:pt idx="18">
                  <c:v>4.5895780239999997</c:v>
                </c:pt>
                <c:pt idx="19">
                  <c:v>4.8480785700000002</c:v>
                </c:pt>
                <c:pt idx="20">
                  <c:v>5.2453223119999999</c:v>
                </c:pt>
                <c:pt idx="21">
                  <c:v>5.5036981559999996</c:v>
                </c:pt>
                <c:pt idx="22">
                  <c:v>5.7966662729999996</c:v>
                </c:pt>
                <c:pt idx="23">
                  <c:v>5.931</c:v>
                </c:pt>
              </c:numCache>
            </c:numRef>
          </c:xVal>
          <c:yVal>
            <c:numRef>
              <c:f>'Abaco_Efficienza_n2,5'!$B$5:$B$33</c:f>
              <c:numCache>
                <c:formatCode>General</c:formatCode>
                <c:ptCount val="29"/>
                <c:pt idx="0">
                  <c:v>0.9941469739842751</c:v>
                </c:pt>
                <c:pt idx="1">
                  <c:v>0.98015702734269727</c:v>
                </c:pt>
                <c:pt idx="2">
                  <c:v>0.96523401104479112</c:v>
                </c:pt>
                <c:pt idx="3">
                  <c:v>0.94576702949197011</c:v>
                </c:pt>
                <c:pt idx="4">
                  <c:v>0.92534207930241785</c:v>
                </c:pt>
                <c:pt idx="5">
                  <c:v>0.90043994990535292</c:v>
                </c:pt>
                <c:pt idx="6">
                  <c:v>0.86838505474160366</c:v>
                </c:pt>
                <c:pt idx="7">
                  <c:v>0.84343296117133992</c:v>
                </c:pt>
                <c:pt idx="8">
                  <c:v>0.79622109205768665</c:v>
                </c:pt>
                <c:pt idx="9">
                  <c:v>0.7526029804533938</c:v>
                </c:pt>
                <c:pt idx="10">
                  <c:v>0.71434593332480312</c:v>
                </c:pt>
                <c:pt idx="11">
                  <c:v>0.68146492656629709</c:v>
                </c:pt>
                <c:pt idx="12">
                  <c:v>0.62198995574516558</c:v>
                </c:pt>
                <c:pt idx="13">
                  <c:v>0.59182700651086828</c:v>
                </c:pt>
                <c:pt idx="14">
                  <c:v>0.55906303214647912</c:v>
                </c:pt>
                <c:pt idx="15">
                  <c:v>0.52813295930959536</c:v>
                </c:pt>
                <c:pt idx="16">
                  <c:v>0.49809402575623718</c:v>
                </c:pt>
                <c:pt idx="17">
                  <c:v>0.47607599278107016</c:v>
                </c:pt>
                <c:pt idx="18">
                  <c:v>0.44443699795813707</c:v>
                </c:pt>
                <c:pt idx="19">
                  <c:v>0.42338603279288411</c:v>
                </c:pt>
                <c:pt idx="20">
                  <c:v>0.39543097850578396</c:v>
                </c:pt>
                <c:pt idx="21">
                  <c:v>0.37798099018391551</c:v>
                </c:pt>
                <c:pt idx="22">
                  <c:v>0.36150598586298494</c:v>
                </c:pt>
                <c:pt idx="23">
                  <c:v>0.35462275630224271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F-4469-87F6-385BDF02C4A9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'Abaco_Efficienza_n2,5'!$D$5:$D$23</c:f>
              <c:numCache>
                <c:formatCode>0.00</c:formatCode>
                <c:ptCount val="19"/>
                <c:pt idx="0">
                  <c:v>0.50900000000000001</c:v>
                </c:pt>
                <c:pt idx="1">
                  <c:v>0.74105052800000004</c:v>
                </c:pt>
                <c:pt idx="2">
                  <c:v>0.93852826</c:v>
                </c:pt>
                <c:pt idx="3">
                  <c:v>1.2445339470000001</c:v>
                </c:pt>
                <c:pt idx="4">
                  <c:v>1.473006305</c:v>
                </c:pt>
                <c:pt idx="5">
                  <c:v>1.666605812</c:v>
                </c:pt>
                <c:pt idx="6">
                  <c:v>1.9144381210000001</c:v>
                </c:pt>
                <c:pt idx="7">
                  <c:v>2.3052659559999999</c:v>
                </c:pt>
                <c:pt idx="8">
                  <c:v>2.5528488619999998</c:v>
                </c:pt>
                <c:pt idx="9">
                  <c:v>2.819604665</c:v>
                </c:pt>
                <c:pt idx="10">
                  <c:v>3.1982678419999999</c:v>
                </c:pt>
                <c:pt idx="11">
                  <c:v>3.592163341</c:v>
                </c:pt>
                <c:pt idx="12">
                  <c:v>3.8701797149999999</c:v>
                </c:pt>
                <c:pt idx="13">
                  <c:v>4.2136271110000001</c:v>
                </c:pt>
                <c:pt idx="14">
                  <c:v>4.4682806069999996</c:v>
                </c:pt>
                <c:pt idx="15">
                  <c:v>4.8038468500000002</c:v>
                </c:pt>
                <c:pt idx="16">
                  <c:v>5.0737638440000001</c:v>
                </c:pt>
                <c:pt idx="17">
                  <c:v>5.4014177590000001</c:v>
                </c:pt>
                <c:pt idx="18">
                  <c:v>5.7444286990000002</c:v>
                </c:pt>
              </c:numCache>
            </c:numRef>
          </c:xVal>
          <c:yVal>
            <c:numRef>
              <c:f>'Abaco_Efficienza_n2,5'!$E$5:$E$23</c:f>
              <c:numCache>
                <c:formatCode>General</c:formatCode>
                <c:ptCount val="19"/>
                <c:pt idx="0">
                  <c:v>0.96323188885591882</c:v>
                </c:pt>
                <c:pt idx="1">
                  <c:v>0.92324408434845107</c:v>
                </c:pt>
                <c:pt idx="2">
                  <c:v>0.88675395029970383</c:v>
                </c:pt>
                <c:pt idx="3">
                  <c:v>0.8270880101919903</c:v>
                </c:pt>
                <c:pt idx="4">
                  <c:v>0.78436094409511314</c:v>
                </c:pt>
                <c:pt idx="5">
                  <c:v>0.74876303512778153</c:v>
                </c:pt>
                <c:pt idx="6">
                  <c:v>0.70247697825467958</c:v>
                </c:pt>
                <c:pt idx="7">
                  <c:v>0.63759200707217689</c:v>
                </c:pt>
                <c:pt idx="8">
                  <c:v>0.59850802072054088</c:v>
                </c:pt>
                <c:pt idx="9">
                  <c:v>0.5612670442378922</c:v>
                </c:pt>
                <c:pt idx="10">
                  <c:v>0.51436401800693676</c:v>
                </c:pt>
                <c:pt idx="11">
                  <c:v>0.47199496357148668</c:v>
                </c:pt>
                <c:pt idx="12">
                  <c:v>0.44288202764830742</c:v>
                </c:pt>
                <c:pt idx="13">
                  <c:v>0.41300999074972994</c:v>
                </c:pt>
                <c:pt idx="14">
                  <c:v>0.39195103119536062</c:v>
                </c:pt>
                <c:pt idx="15">
                  <c:v>0.3674640102099781</c:v>
                </c:pt>
                <c:pt idx="16">
                  <c:v>0.35003900940327465</c:v>
                </c:pt>
                <c:pt idx="17">
                  <c:v>0.33183901258352988</c:v>
                </c:pt>
                <c:pt idx="18">
                  <c:v>0.31457201463331758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F-4469-87F6-385BDF02C4A9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'Abaco_Efficienza_n2,5'!$G$5:$G$25</c:f>
              <c:numCache>
                <c:formatCode>General</c:formatCode>
                <c:ptCount val="21"/>
                <c:pt idx="0">
                  <c:v>0.49846990899999999</c:v>
                </c:pt>
                <c:pt idx="1">
                  <c:v>0.70992321899999999</c:v>
                </c:pt>
                <c:pt idx="2">
                  <c:v>0.93804067599999996</c:v>
                </c:pt>
                <c:pt idx="3">
                  <c:v>1.1768520579999999</c:v>
                </c:pt>
                <c:pt idx="4">
                  <c:v>1.4242479109999999</c:v>
                </c:pt>
                <c:pt idx="5">
                  <c:v>1.717933063</c:v>
                </c:pt>
                <c:pt idx="6">
                  <c:v>1.926546664</c:v>
                </c:pt>
                <c:pt idx="7">
                  <c:v>2.1929907129999999</c:v>
                </c:pt>
                <c:pt idx="8">
                  <c:v>2.428533662</c:v>
                </c:pt>
                <c:pt idx="9">
                  <c:v>2.7797686829999999</c:v>
                </c:pt>
                <c:pt idx="10">
                  <c:v>3.0961620289999998</c:v>
                </c:pt>
                <c:pt idx="11">
                  <c:v>3.4780487459999998</c:v>
                </c:pt>
                <c:pt idx="12">
                  <c:v>3.9060688859999999</c:v>
                </c:pt>
                <c:pt idx="13">
                  <c:v>4.3571401490000001</c:v>
                </c:pt>
                <c:pt idx="14">
                  <c:v>4.7117545889999999</c:v>
                </c:pt>
                <c:pt idx="15">
                  <c:v>5.0700913759999997</c:v>
                </c:pt>
                <c:pt idx="16">
                  <c:v>5.5207573590000001</c:v>
                </c:pt>
                <c:pt idx="17">
                  <c:v>5.7634955999999997</c:v>
                </c:pt>
                <c:pt idx="18">
                  <c:v>5.9175646439999996</c:v>
                </c:pt>
              </c:numCache>
            </c:numRef>
          </c:xVal>
          <c:yVal>
            <c:numRef>
              <c:f>'Abaco_Efficienza_n2,5'!$H$5:$H$25</c:f>
              <c:numCache>
                <c:formatCode>General</c:formatCode>
                <c:ptCount val="21"/>
                <c:pt idx="0">
                  <c:v>0.64452801184342423</c:v>
                </c:pt>
                <c:pt idx="1">
                  <c:v>0.61775697286448672</c:v>
                </c:pt>
                <c:pt idx="2">
                  <c:v>0.58972403980410526</c:v>
                </c:pt>
                <c:pt idx="3">
                  <c:v>0.55951799229993027</c:v>
                </c:pt>
                <c:pt idx="4">
                  <c:v>0.52583701189654486</c:v>
                </c:pt>
                <c:pt idx="5">
                  <c:v>0.48865399229045248</c:v>
                </c:pt>
                <c:pt idx="6">
                  <c:v>0.46389403773866672</c:v>
                </c:pt>
                <c:pt idx="7">
                  <c:v>0.43565603009885384</c:v>
                </c:pt>
                <c:pt idx="8">
                  <c:v>0.41095403421409737</c:v>
                </c:pt>
                <c:pt idx="9">
                  <c:v>0.37839702742183895</c:v>
                </c:pt>
                <c:pt idx="10">
                  <c:v>0.35206899767726746</c:v>
                </c:pt>
                <c:pt idx="11">
                  <c:v>0.32318001785918271</c:v>
                </c:pt>
                <c:pt idx="12">
                  <c:v>0.29529200704777425</c:v>
                </c:pt>
                <c:pt idx="13">
                  <c:v>0.26835399149104838</c:v>
                </c:pt>
                <c:pt idx="14">
                  <c:v>0.24931102027997104</c:v>
                </c:pt>
                <c:pt idx="15">
                  <c:v>0.23387798650772706</c:v>
                </c:pt>
                <c:pt idx="16">
                  <c:v>0.21864398570338089</c:v>
                </c:pt>
                <c:pt idx="17">
                  <c:v>0.20836401591898102</c:v>
                </c:pt>
                <c:pt idx="18">
                  <c:v>0.20329400853370463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F-4469-87F6-385BDF02C4A9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'Abaco_Efficienza_n2,5'!$J$5:$J$22</c:f>
              <c:numCache>
                <c:formatCode>General</c:formatCode>
                <c:ptCount val="18"/>
                <c:pt idx="0">
                  <c:v>0.49859999999999999</c:v>
                </c:pt>
                <c:pt idx="1">
                  <c:v>0.72085008699999997</c:v>
                </c:pt>
                <c:pt idx="2">
                  <c:v>0.93761868500000001</c:v>
                </c:pt>
                <c:pt idx="3">
                  <c:v>1.171051431</c:v>
                </c:pt>
                <c:pt idx="4">
                  <c:v>1.398944424</c:v>
                </c:pt>
                <c:pt idx="5">
                  <c:v>1.7213723379999999</c:v>
                </c:pt>
                <c:pt idx="6">
                  <c:v>2.0325411779999998</c:v>
                </c:pt>
                <c:pt idx="7">
                  <c:v>2.415861467</c:v>
                </c:pt>
                <c:pt idx="8">
                  <c:v>2.837915126</c:v>
                </c:pt>
                <c:pt idx="9">
                  <c:v>3.2709585030000001</c:v>
                </c:pt>
                <c:pt idx="10">
                  <c:v>3.6262657850000002</c:v>
                </c:pt>
                <c:pt idx="11">
                  <c:v>4.0091371489999998</c:v>
                </c:pt>
                <c:pt idx="12">
                  <c:v>4.4363714180000002</c:v>
                </c:pt>
                <c:pt idx="13">
                  <c:v>4.8357722509999999</c:v>
                </c:pt>
                <c:pt idx="14">
                  <c:v>5.2406679430000001</c:v>
                </c:pt>
                <c:pt idx="15">
                  <c:v>5.4957658760000001</c:v>
                </c:pt>
                <c:pt idx="16">
                  <c:v>5.7008713660000003</c:v>
                </c:pt>
                <c:pt idx="17">
                  <c:v>5.89</c:v>
                </c:pt>
              </c:numCache>
            </c:numRef>
          </c:xVal>
          <c:yVal>
            <c:numRef>
              <c:f>'Abaco_Efficienza_n2,5'!$K$5:$K$22</c:f>
              <c:numCache>
                <c:formatCode>General</c:formatCode>
                <c:ptCount val="18"/>
                <c:pt idx="0">
                  <c:v>0.4824488874631489</c:v>
                </c:pt>
                <c:pt idx="1">
                  <c:v>0.46218899188669499</c:v>
                </c:pt>
                <c:pt idx="2">
                  <c:v>0.44191102928542292</c:v>
                </c:pt>
                <c:pt idx="3">
                  <c:v>0.42037396017419354</c:v>
                </c:pt>
                <c:pt idx="4">
                  <c:v>0.39882395848453123</c:v>
                </c:pt>
                <c:pt idx="5">
                  <c:v>0.36710596861373374</c:v>
                </c:pt>
                <c:pt idx="6">
                  <c:v>0.34054998551167809</c:v>
                </c:pt>
                <c:pt idx="7">
                  <c:v>0.31025996509766063</c:v>
                </c:pt>
                <c:pt idx="8">
                  <c:v>0.28134999208259648</c:v>
                </c:pt>
                <c:pt idx="9">
                  <c:v>0.25505803065847898</c:v>
                </c:pt>
                <c:pt idx="10">
                  <c:v>0.23378301137819762</c:v>
                </c:pt>
                <c:pt idx="11">
                  <c:v>0.21645799360067125</c:v>
                </c:pt>
                <c:pt idx="12">
                  <c:v>0.19793298296223186</c:v>
                </c:pt>
                <c:pt idx="13">
                  <c:v>0.18323599143618927</c:v>
                </c:pt>
                <c:pt idx="14">
                  <c:v>0.16984900184481347</c:v>
                </c:pt>
                <c:pt idx="15">
                  <c:v>0.16262100254028242</c:v>
                </c:pt>
                <c:pt idx="16">
                  <c:v>0.15917399311008495</c:v>
                </c:pt>
                <c:pt idx="17">
                  <c:v>0.15335122311291824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BF-4469-87F6-385BDF02C4A9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'Abaco_Efficienza_n2,5'!$M$4:$M$7</c:f>
              <c:numCache>
                <c:formatCode>0.00</c:formatCode>
                <c:ptCount val="4"/>
                <c:pt idx="0">
                  <c:v>2.6</c:v>
                </c:pt>
                <c:pt idx="1">
                  <c:v>2.6</c:v>
                </c:pt>
                <c:pt idx="2">
                  <c:v>2.6</c:v>
                </c:pt>
                <c:pt idx="3">
                  <c:v>2.6</c:v>
                </c:pt>
              </c:numCache>
            </c:numRef>
          </c:xVal>
          <c:yVal>
            <c:numRef>
              <c:f>'Abaco_Efficienza_n2,5'!$N$4:$N$7</c:f>
              <c:numCache>
                <c:formatCode>0.00</c:formatCode>
                <c:ptCount val="4"/>
                <c:pt idx="0" formatCode="0.000">
                  <c:v>0.68267238256868679</c:v>
                </c:pt>
                <c:pt idx="1">
                  <c:v>0.59153669374309392</c:v>
                </c:pt>
                <c:pt idx="2" formatCode="0.000">
                  <c:v>0.39441193262994789</c:v>
                </c:pt>
                <c:pt idx="3">
                  <c:v>0.29702531111725655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BF-4469-87F6-385BDF02C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Abaco_Efficienza_n4!$A$5:$A$29</c:f>
              <c:numCache>
                <c:formatCode>0.00</c:formatCode>
                <c:ptCount val="25"/>
                <c:pt idx="0">
                  <c:v>0.61</c:v>
                </c:pt>
                <c:pt idx="1">
                  <c:v>0.82716787199999997</c:v>
                </c:pt>
                <c:pt idx="2">
                  <c:v>0.98206114</c:v>
                </c:pt>
                <c:pt idx="3">
                  <c:v>1.176123743</c:v>
                </c:pt>
                <c:pt idx="4">
                  <c:v>1.4039945410000001</c:v>
                </c:pt>
                <c:pt idx="5">
                  <c:v>1.65445171</c:v>
                </c:pt>
                <c:pt idx="6">
                  <c:v>1.882607959</c:v>
                </c:pt>
                <c:pt idx="7">
                  <c:v>2.1219146680000001</c:v>
                </c:pt>
                <c:pt idx="8">
                  <c:v>2.2950255570000002</c:v>
                </c:pt>
                <c:pt idx="9">
                  <c:v>2.4455753489999998</c:v>
                </c:pt>
                <c:pt idx="10">
                  <c:v>2.6229296070000001</c:v>
                </c:pt>
                <c:pt idx="11">
                  <c:v>2.8117998129999999</c:v>
                </c:pt>
                <c:pt idx="12">
                  <c:v>3.0506054950000001</c:v>
                </c:pt>
                <c:pt idx="13">
                  <c:v>3.2585863499999999</c:v>
                </c:pt>
                <c:pt idx="14">
                  <c:v>3.451080455</c:v>
                </c:pt>
                <c:pt idx="15">
                  <c:v>3.627988695</c:v>
                </c:pt>
                <c:pt idx="16">
                  <c:v>3.9779830450000002</c:v>
                </c:pt>
                <c:pt idx="17">
                  <c:v>4.2585843670000001</c:v>
                </c:pt>
                <c:pt idx="18">
                  <c:v>4.4430873100000001</c:v>
                </c:pt>
                <c:pt idx="19">
                  <c:v>4.6696336799999996</c:v>
                </c:pt>
                <c:pt idx="20">
                  <c:v>4.9345004640000001</c:v>
                </c:pt>
                <c:pt idx="21">
                  <c:v>5.157076032</c:v>
                </c:pt>
                <c:pt idx="22">
                  <c:v>5.4717296199999996</c:v>
                </c:pt>
                <c:pt idx="23">
                  <c:v>5.7860363039999996</c:v>
                </c:pt>
                <c:pt idx="24">
                  <c:v>5.9317728140000003</c:v>
                </c:pt>
              </c:numCache>
            </c:numRef>
          </c:xVal>
          <c:yVal>
            <c:numRef>
              <c:f>Abaco_Efficienza_n4!$B$5:$B$29</c:f>
              <c:numCache>
                <c:formatCode>General</c:formatCode>
                <c:ptCount val="25"/>
                <c:pt idx="0">
                  <c:v>0.99471154668732009</c:v>
                </c:pt>
                <c:pt idx="1">
                  <c:v>0.97993600970103256</c:v>
                </c:pt>
                <c:pt idx="2">
                  <c:v>0.96604198500577487</c:v>
                </c:pt>
                <c:pt idx="3">
                  <c:v>0.94057103941785214</c:v>
                </c:pt>
                <c:pt idx="4">
                  <c:v>0.90091908797867148</c:v>
                </c:pt>
                <c:pt idx="5">
                  <c:v>0.85094705773027812</c:v>
                </c:pt>
                <c:pt idx="6">
                  <c:v>0.80610800817619221</c:v>
                </c:pt>
                <c:pt idx="7">
                  <c:v>0.75870306198701021</c:v>
                </c:pt>
                <c:pt idx="8">
                  <c:v>0.72774407912566585</c:v>
                </c:pt>
                <c:pt idx="9">
                  <c:v>0.70108894154989687</c:v>
                </c:pt>
                <c:pt idx="10">
                  <c:v>0.67359805925453842</c:v>
                </c:pt>
                <c:pt idx="11">
                  <c:v>0.64523402706069688</c:v>
                </c:pt>
                <c:pt idx="12">
                  <c:v>0.61248593315001587</c:v>
                </c:pt>
                <c:pt idx="13">
                  <c:v>0.58416695260586826</c:v>
                </c:pt>
                <c:pt idx="14">
                  <c:v>0.55941294659166296</c:v>
                </c:pt>
                <c:pt idx="15">
                  <c:v>0.54002503305218164</c:v>
                </c:pt>
                <c:pt idx="16">
                  <c:v>0.50123799526732415</c:v>
                </c:pt>
                <c:pt idx="17">
                  <c:v>0.47309196271043541</c:v>
                </c:pt>
                <c:pt idx="18">
                  <c:v>0.4546219714183265</c:v>
                </c:pt>
                <c:pt idx="19">
                  <c:v>0.43625202446113792</c:v>
                </c:pt>
                <c:pt idx="20">
                  <c:v>0.4161719663945998</c:v>
                </c:pt>
                <c:pt idx="21">
                  <c:v>0.40049399770788607</c:v>
                </c:pt>
                <c:pt idx="22">
                  <c:v>0.37873102206482628</c:v>
                </c:pt>
                <c:pt idx="23">
                  <c:v>0.36327098445156281</c:v>
                </c:pt>
                <c:pt idx="24">
                  <c:v>0.35461301302005793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7-466F-B9B8-40933EA21B42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Abaco_Efficienza_n4!$D$5:$D$28</c:f>
              <c:numCache>
                <c:formatCode>0.00</c:formatCode>
                <c:ptCount val="24"/>
                <c:pt idx="0">
                  <c:v>0.49981325199999999</c:v>
                </c:pt>
                <c:pt idx="1">
                  <c:v>0.687504055</c:v>
                </c:pt>
                <c:pt idx="2">
                  <c:v>0.84623965599999995</c:v>
                </c:pt>
                <c:pt idx="3">
                  <c:v>1.011610898</c:v>
                </c:pt>
                <c:pt idx="4">
                  <c:v>1.2106192179999999</c:v>
                </c:pt>
                <c:pt idx="5">
                  <c:v>1.45650722</c:v>
                </c:pt>
                <c:pt idx="6">
                  <c:v>1.664477779</c:v>
                </c:pt>
                <c:pt idx="7">
                  <c:v>1.854265746</c:v>
                </c:pt>
                <c:pt idx="8">
                  <c:v>2.0687859099999999</c:v>
                </c:pt>
                <c:pt idx="9">
                  <c:v>2.2629402810000001</c:v>
                </c:pt>
                <c:pt idx="10">
                  <c:v>2.4725491370000001</c:v>
                </c:pt>
                <c:pt idx="11">
                  <c:v>2.7110271589999999</c:v>
                </c:pt>
                <c:pt idx="12">
                  <c:v>2.9583813839999999</c:v>
                </c:pt>
                <c:pt idx="13">
                  <c:v>3.1810894489999999</c:v>
                </c:pt>
                <c:pt idx="14">
                  <c:v>3.4771910859999999</c:v>
                </c:pt>
                <c:pt idx="15">
                  <c:v>3.8286184200000002</c:v>
                </c:pt>
                <c:pt idx="16">
                  <c:v>4.064397016</c:v>
                </c:pt>
                <c:pt idx="17">
                  <c:v>4.3666754279999997</c:v>
                </c:pt>
                <c:pt idx="18">
                  <c:v>4.6732055270000004</c:v>
                </c:pt>
                <c:pt idx="19">
                  <c:v>4.9818901479999997</c:v>
                </c:pt>
                <c:pt idx="20">
                  <c:v>5.3126362179999997</c:v>
                </c:pt>
                <c:pt idx="21">
                  <c:v>5.6054361659999996</c:v>
                </c:pt>
                <c:pt idx="22">
                  <c:v>5.8626452689999997</c:v>
                </c:pt>
                <c:pt idx="23">
                  <c:v>5.9712568560000001</c:v>
                </c:pt>
              </c:numCache>
            </c:numRef>
          </c:xVal>
          <c:yVal>
            <c:numRef>
              <c:f>Abaco_Efficienza_n4!$E$5:$E$28</c:f>
              <c:numCache>
                <c:formatCode>General</c:formatCode>
                <c:ptCount val="24"/>
                <c:pt idx="0">
                  <c:v>0.96197395878870628</c:v>
                </c:pt>
                <c:pt idx="1">
                  <c:v>0.92802898944787238</c:v>
                </c:pt>
                <c:pt idx="2">
                  <c:v>0.89766306406029572</c:v>
                </c:pt>
                <c:pt idx="3">
                  <c:v>0.86731301918963155</c:v>
                </c:pt>
                <c:pt idx="4">
                  <c:v>0.82870495827299395</c:v>
                </c:pt>
                <c:pt idx="5">
                  <c:v>0.78239295690590738</c:v>
                </c:pt>
                <c:pt idx="6">
                  <c:v>0.74172303968395703</c:v>
                </c:pt>
                <c:pt idx="7">
                  <c:v>0.70986804401627768</c:v>
                </c:pt>
                <c:pt idx="8">
                  <c:v>0.67077601570892131</c:v>
                </c:pt>
                <c:pt idx="9">
                  <c:v>0.63997295816673982</c:v>
                </c:pt>
                <c:pt idx="10">
                  <c:v>0.60972798094442548</c:v>
                </c:pt>
                <c:pt idx="11">
                  <c:v>0.57746697865022267</c:v>
                </c:pt>
                <c:pt idx="12">
                  <c:v>0.54470695126996704</c:v>
                </c:pt>
                <c:pt idx="13">
                  <c:v>0.51761894638297001</c:v>
                </c:pt>
                <c:pt idx="14">
                  <c:v>0.48341099082908356</c:v>
                </c:pt>
                <c:pt idx="15">
                  <c:v>0.44881395860821516</c:v>
                </c:pt>
                <c:pt idx="16">
                  <c:v>0.42540499847822338</c:v>
                </c:pt>
                <c:pt idx="17">
                  <c:v>0.39954896660466271</c:v>
                </c:pt>
                <c:pt idx="18">
                  <c:v>0.3768290339757443</c:v>
                </c:pt>
                <c:pt idx="19">
                  <c:v>0.35515698998938028</c:v>
                </c:pt>
                <c:pt idx="20">
                  <c:v>0.33457898798002939</c:v>
                </c:pt>
                <c:pt idx="21">
                  <c:v>0.32016399250445893</c:v>
                </c:pt>
                <c:pt idx="22">
                  <c:v>0.30931098970965532</c:v>
                </c:pt>
                <c:pt idx="23">
                  <c:v>0.30540100483409915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7-466F-B9B8-40933EA21B42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Abaco_Efficienza_n4!$G$5:$G$26</c:f>
              <c:numCache>
                <c:formatCode>0.00</c:formatCode>
                <c:ptCount val="22"/>
                <c:pt idx="0">
                  <c:v>0.50406493799999996</c:v>
                </c:pt>
                <c:pt idx="1">
                  <c:v>0.64438851399999997</c:v>
                </c:pt>
                <c:pt idx="2">
                  <c:v>0.85141266000000004</c:v>
                </c:pt>
                <c:pt idx="3">
                  <c:v>1.0408277990000001</c:v>
                </c:pt>
                <c:pt idx="4">
                  <c:v>1.270314902</c:v>
                </c:pt>
                <c:pt idx="5">
                  <c:v>1.5265166489999999</c:v>
                </c:pt>
                <c:pt idx="6">
                  <c:v>1.796075718</c:v>
                </c:pt>
                <c:pt idx="7">
                  <c:v>1.9987047819999999</c:v>
                </c:pt>
                <c:pt idx="8">
                  <c:v>2.2391365730000001</c:v>
                </c:pt>
                <c:pt idx="9">
                  <c:v>2.4326886810000001</c:v>
                </c:pt>
                <c:pt idx="10">
                  <c:v>2.6861336429999998</c:v>
                </c:pt>
                <c:pt idx="11">
                  <c:v>2.923952044</c:v>
                </c:pt>
                <c:pt idx="12">
                  <c:v>3.2060940969999998</c:v>
                </c:pt>
                <c:pt idx="13">
                  <c:v>3.5371843169999999</c:v>
                </c:pt>
                <c:pt idx="14">
                  <c:v>3.9367281219999999</c:v>
                </c:pt>
                <c:pt idx="15">
                  <c:v>4.2896790359999999</c:v>
                </c:pt>
                <c:pt idx="16">
                  <c:v>4.5981629030000004</c:v>
                </c:pt>
                <c:pt idx="17">
                  <c:v>4.8909341719999997</c:v>
                </c:pt>
                <c:pt idx="18">
                  <c:v>5.1902550459999999</c:v>
                </c:pt>
                <c:pt idx="19">
                  <c:v>5.4982800459999996</c:v>
                </c:pt>
                <c:pt idx="20">
                  <c:v>5.806247688</c:v>
                </c:pt>
                <c:pt idx="21">
                  <c:v>5.9458000000000002</c:v>
                </c:pt>
              </c:numCache>
            </c:numRef>
          </c:xVal>
          <c:yVal>
            <c:numRef>
              <c:f>Abaco_Efficienza_n4!$H$5:$H$26</c:f>
              <c:numCache>
                <c:formatCode>General</c:formatCode>
                <c:ptCount val="22"/>
                <c:pt idx="0">
                  <c:v>0.64360800860497436</c:v>
                </c:pt>
                <c:pt idx="1">
                  <c:v>0.62622505505411008</c:v>
                </c:pt>
                <c:pt idx="2">
                  <c:v>0.60274804179144681</c:v>
                </c:pt>
                <c:pt idx="3">
                  <c:v>0.57766602695921232</c:v>
                </c:pt>
                <c:pt idx="4">
                  <c:v>0.54798901245398435</c:v>
                </c:pt>
                <c:pt idx="5">
                  <c:v>0.51524904522145154</c:v>
                </c:pt>
                <c:pt idx="6">
                  <c:v>0.48097803448392412</c:v>
                </c:pt>
                <c:pt idx="7">
                  <c:v>0.45696902548769464</c:v>
                </c:pt>
                <c:pt idx="8">
                  <c:v>0.42940304669201246</c:v>
                </c:pt>
                <c:pt idx="9">
                  <c:v>0.40954103058340463</c:v>
                </c:pt>
                <c:pt idx="10">
                  <c:v>0.38669503124927618</c:v>
                </c:pt>
                <c:pt idx="11">
                  <c:v>0.36641799646941642</c:v>
                </c:pt>
                <c:pt idx="12">
                  <c:v>0.34468199225363194</c:v>
                </c:pt>
                <c:pt idx="13">
                  <c:v>0.31785297685824954</c:v>
                </c:pt>
                <c:pt idx="14">
                  <c:v>0.29326999275638221</c:v>
                </c:pt>
                <c:pt idx="15">
                  <c:v>0.27118199774411483</c:v>
                </c:pt>
                <c:pt idx="16">
                  <c:v>0.25315600510551434</c:v>
                </c:pt>
                <c:pt idx="17">
                  <c:v>0.23926199241522492</c:v>
                </c:pt>
                <c:pt idx="18">
                  <c:v>0.22694699830673004</c:v>
                </c:pt>
                <c:pt idx="19">
                  <c:v>0.21725799877535301</c:v>
                </c:pt>
                <c:pt idx="20">
                  <c:v>0.2086100110155219</c:v>
                </c:pt>
                <c:pt idx="21">
                  <c:v>0.20269609004217509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7-466F-B9B8-40933EA21B42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Abaco_Efficienza_n4!$J$5:$J$26</c:f>
              <c:numCache>
                <c:formatCode>0.00</c:formatCode>
                <c:ptCount val="22"/>
                <c:pt idx="0">
                  <c:v>0.48638423200000003</c:v>
                </c:pt>
                <c:pt idx="1">
                  <c:v>0.64417342</c:v>
                </c:pt>
                <c:pt idx="2">
                  <c:v>0.79756752600000003</c:v>
                </c:pt>
                <c:pt idx="3">
                  <c:v>1.079967691</c:v>
                </c:pt>
                <c:pt idx="4">
                  <c:v>1.364637095</c:v>
                </c:pt>
                <c:pt idx="5">
                  <c:v>1.604868132</c:v>
                </c:pt>
                <c:pt idx="6">
                  <c:v>1.8449270929999999</c:v>
                </c:pt>
                <c:pt idx="7">
                  <c:v>2.1272698999999999</c:v>
                </c:pt>
                <c:pt idx="8">
                  <c:v>2.3449806209999999</c:v>
                </c:pt>
                <c:pt idx="9">
                  <c:v>2.5627200210000001</c:v>
                </c:pt>
                <c:pt idx="10">
                  <c:v>2.7914041080000001</c:v>
                </c:pt>
                <c:pt idx="11">
                  <c:v>3.0599880850000001</c:v>
                </c:pt>
                <c:pt idx="12">
                  <c:v>3.421757843</c:v>
                </c:pt>
                <c:pt idx="13">
                  <c:v>3.6947082230000001</c:v>
                </c:pt>
                <c:pt idx="14">
                  <c:v>4.00732906</c:v>
                </c:pt>
                <c:pt idx="15">
                  <c:v>4.3245457329999999</c:v>
                </c:pt>
                <c:pt idx="16">
                  <c:v>4.6083547620000003</c:v>
                </c:pt>
                <c:pt idx="17">
                  <c:v>4.9407964880000002</c:v>
                </c:pt>
                <c:pt idx="18">
                  <c:v>5.251033369</c:v>
                </c:pt>
                <c:pt idx="19">
                  <c:v>5.5988148640000004</c:v>
                </c:pt>
                <c:pt idx="20">
                  <c:v>5.8268966879999997</c:v>
                </c:pt>
                <c:pt idx="21">
                  <c:v>5.9685717690000004</c:v>
                </c:pt>
              </c:numCache>
            </c:numRef>
          </c:xVal>
          <c:yVal>
            <c:numRef>
              <c:f>Abaco_Efficienza_n4!$K$5:$K$26</c:f>
              <c:numCache>
                <c:formatCode>General</c:formatCode>
                <c:ptCount val="22"/>
                <c:pt idx="0">
                  <c:v>0.48255498150184201</c:v>
                </c:pt>
                <c:pt idx="1">
                  <c:v>0.46938196352689499</c:v>
                </c:pt>
                <c:pt idx="2">
                  <c:v>0.4556770433588414</c:v>
                </c:pt>
                <c:pt idx="3">
                  <c:v>0.42925302920880049</c:v>
                </c:pt>
                <c:pt idx="4">
                  <c:v>0.40179199044992275</c:v>
                </c:pt>
                <c:pt idx="5">
                  <c:v>0.37787198779773618</c:v>
                </c:pt>
                <c:pt idx="6">
                  <c:v>0.35707899179192565</c:v>
                </c:pt>
                <c:pt idx="7">
                  <c:v>0.33169600824709322</c:v>
                </c:pt>
                <c:pt idx="8">
                  <c:v>0.31501902940590959</c:v>
                </c:pt>
                <c:pt idx="9">
                  <c:v>0.29781999844710783</c:v>
                </c:pt>
                <c:pt idx="10">
                  <c:v>0.28273099329179946</c:v>
                </c:pt>
                <c:pt idx="11">
                  <c:v>0.26617399486231341</c:v>
                </c:pt>
                <c:pt idx="12">
                  <c:v>0.24462800948179872</c:v>
                </c:pt>
                <c:pt idx="13">
                  <c:v>0.22912398936584707</c:v>
                </c:pt>
                <c:pt idx="14">
                  <c:v>0.21631899734368562</c:v>
                </c:pt>
                <c:pt idx="15">
                  <c:v>0.20039801294378665</c:v>
                </c:pt>
                <c:pt idx="16">
                  <c:v>0.18856700867710169</c:v>
                </c:pt>
                <c:pt idx="17">
                  <c:v>0.17737298419294337</c:v>
                </c:pt>
                <c:pt idx="18">
                  <c:v>0.1676889894275829</c:v>
                </c:pt>
                <c:pt idx="19">
                  <c:v>0.15913600284292526</c:v>
                </c:pt>
                <c:pt idx="20">
                  <c:v>0.15498900465366267</c:v>
                </c:pt>
                <c:pt idx="21">
                  <c:v>0.15324100220615733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7-466F-B9B8-40933EA21B42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Abaco_Efficienza_n4!$M$4:$M$7</c:f>
              <c:numCache>
                <c:formatCode>0.00</c:formatCode>
                <c:ptCount val="4"/>
                <c:pt idx="0">
                  <c:v>2.6</c:v>
                </c:pt>
                <c:pt idx="1">
                  <c:v>2.6</c:v>
                </c:pt>
                <c:pt idx="2">
                  <c:v>2.6</c:v>
                </c:pt>
                <c:pt idx="3">
                  <c:v>2.6</c:v>
                </c:pt>
              </c:numCache>
            </c:numRef>
          </c:xVal>
          <c:yVal>
            <c:numRef>
              <c:f>Abaco_Efficienza_n4!$N$4:$N$7</c:f>
              <c:numCache>
                <c:formatCode>0.00</c:formatCode>
                <c:ptCount val="4"/>
                <c:pt idx="0" formatCode="0.000">
                  <c:v>0.67704653368499113</c:v>
                </c:pt>
                <c:pt idx="1">
                  <c:v>0.59234943549157848</c:v>
                </c:pt>
                <c:pt idx="2" formatCode="0.000">
                  <c:v>0.39425060377796184</c:v>
                </c:pt>
                <c:pt idx="3">
                  <c:v>0.29513249238601003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67-466F-B9B8-40933EA21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T50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'Abaco_Tempi_T50-n1'!$A$5:$A$33</c:f>
              <c:numCache>
                <c:formatCode>General</c:formatCode>
                <c:ptCount val="29"/>
                <c:pt idx="0">
                  <c:v>0.50243723600000001</c:v>
                </c:pt>
                <c:pt idx="1">
                  <c:v>0.51179327600000002</c:v>
                </c:pt>
                <c:pt idx="2">
                  <c:v>0.53186298200000004</c:v>
                </c:pt>
                <c:pt idx="3">
                  <c:v>0.58397896599999999</c:v>
                </c:pt>
                <c:pt idx="4">
                  <c:v>0.64699805099999996</c:v>
                </c:pt>
                <c:pt idx="5">
                  <c:v>0.73680130099999996</c:v>
                </c:pt>
                <c:pt idx="6">
                  <c:v>0.91174556600000001</c:v>
                </c:pt>
                <c:pt idx="7">
                  <c:v>1.0499497470000001</c:v>
                </c:pt>
                <c:pt idx="8">
                  <c:v>1.2151275269999999</c:v>
                </c:pt>
                <c:pt idx="9">
                  <c:v>1.407089472</c:v>
                </c:pt>
                <c:pt idx="10">
                  <c:v>1.6045661120000001</c:v>
                </c:pt>
                <c:pt idx="11">
                  <c:v>1.8182079689999999</c:v>
                </c:pt>
                <c:pt idx="12">
                  <c:v>2.3850534890000001</c:v>
                </c:pt>
                <c:pt idx="13">
                  <c:v>2.7490655359999998</c:v>
                </c:pt>
                <c:pt idx="14">
                  <c:v>3.113235446</c:v>
                </c:pt>
                <c:pt idx="15">
                  <c:v>3.3864339170000002</c:v>
                </c:pt>
                <c:pt idx="16">
                  <c:v>3.7025501959999998</c:v>
                </c:pt>
                <c:pt idx="17">
                  <c:v>4.1043126540000001</c:v>
                </c:pt>
                <c:pt idx="18">
                  <c:v>4.4525383559999998</c:v>
                </c:pt>
                <c:pt idx="19">
                  <c:v>4.843555576</c:v>
                </c:pt>
                <c:pt idx="20">
                  <c:v>5.1703223749999996</c:v>
                </c:pt>
                <c:pt idx="21">
                  <c:v>5.5131280990000002</c:v>
                </c:pt>
                <c:pt idx="22">
                  <c:v>5.8449999999999998</c:v>
                </c:pt>
              </c:numCache>
            </c:numRef>
          </c:xVal>
          <c:yVal>
            <c:numRef>
              <c:f>'Abaco_Tempi_T50-n1'!$B$5:$B$33</c:f>
              <c:numCache>
                <c:formatCode>General</c:formatCode>
                <c:ptCount val="29"/>
                <c:pt idx="0">
                  <c:v>1.3777369801556722E-3</c:v>
                </c:pt>
                <c:pt idx="1">
                  <c:v>2.0332480177639822E-3</c:v>
                </c:pt>
                <c:pt idx="2">
                  <c:v>3.0011593564160466E-3</c:v>
                </c:pt>
                <c:pt idx="3">
                  <c:v>4.5541890604395858E-3</c:v>
                </c:pt>
                <c:pt idx="4">
                  <c:v>6.5469116998444462E-3</c:v>
                </c:pt>
                <c:pt idx="5">
                  <c:v>9.4157497000774242E-3</c:v>
                </c:pt>
                <c:pt idx="6">
                  <c:v>1.5959231995474554E-2</c:v>
                </c:pt>
                <c:pt idx="7">
                  <c:v>2.1757199731036403E-2</c:v>
                </c:pt>
                <c:pt idx="8">
                  <c:v>2.8106871470099271E-2</c:v>
                </c:pt>
                <c:pt idx="9">
                  <c:v>3.6325830892798242E-2</c:v>
                </c:pt>
                <c:pt idx="10">
                  <c:v>4.4875684810075589E-2</c:v>
                </c:pt>
                <c:pt idx="11">
                  <c:v>5.3967898726014568E-2</c:v>
                </c:pt>
                <c:pt idx="12">
                  <c:v>7.2115140748764059E-2</c:v>
                </c:pt>
                <c:pt idx="13">
                  <c:v>7.7997874883855289E-2</c:v>
                </c:pt>
                <c:pt idx="14">
                  <c:v>8.0629501776296311E-2</c:v>
                </c:pt>
                <c:pt idx="15">
                  <c:v>8.0995710162153539E-2</c:v>
                </c:pt>
                <c:pt idx="16">
                  <c:v>7.9961449726050862E-2</c:v>
                </c:pt>
                <c:pt idx="17">
                  <c:v>8.0496099866318435E-2</c:v>
                </c:pt>
                <c:pt idx="18">
                  <c:v>8.0233190347811276E-2</c:v>
                </c:pt>
                <c:pt idx="19">
                  <c:v>8.1489198948334465E-2</c:v>
                </c:pt>
                <c:pt idx="20">
                  <c:v>8.1932080842784041E-2</c:v>
                </c:pt>
                <c:pt idx="21">
                  <c:v>8.3148180302903954E-2</c:v>
                </c:pt>
                <c:pt idx="22">
                  <c:v>8.2856358985703649E-2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3-4013-B5F6-284C5DE8D76E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'Abaco_Tempi_T50-n1'!$D$5:$D$29</c:f>
              <c:numCache>
                <c:formatCode>General</c:formatCode>
                <c:ptCount val="25"/>
                <c:pt idx="0">
                  <c:v>0.50801507800000001</c:v>
                </c:pt>
                <c:pt idx="1">
                  <c:v>0.51768684499999995</c:v>
                </c:pt>
                <c:pt idx="2">
                  <c:v>0.56431970499999995</c:v>
                </c:pt>
                <c:pt idx="3">
                  <c:v>0.62724407299999996</c:v>
                </c:pt>
                <c:pt idx="4">
                  <c:v>0.71169048899999998</c:v>
                </c:pt>
                <c:pt idx="5">
                  <c:v>0.80694529000000004</c:v>
                </c:pt>
                <c:pt idx="6">
                  <c:v>0.98214213699999997</c:v>
                </c:pt>
                <c:pt idx="7">
                  <c:v>1.2057083420000001</c:v>
                </c:pt>
                <c:pt idx="8">
                  <c:v>1.4456923450000001</c:v>
                </c:pt>
                <c:pt idx="9">
                  <c:v>1.6484942460000001</c:v>
                </c:pt>
                <c:pt idx="10">
                  <c:v>1.910284452</c:v>
                </c:pt>
                <c:pt idx="11">
                  <c:v>2.1294725780000001</c:v>
                </c:pt>
                <c:pt idx="12">
                  <c:v>2.3809279910000001</c:v>
                </c:pt>
                <c:pt idx="13">
                  <c:v>2.6110507919999999</c:v>
                </c:pt>
                <c:pt idx="14">
                  <c:v>2.9591186309999999</c:v>
                </c:pt>
                <c:pt idx="15">
                  <c:v>3.2376107890000001</c:v>
                </c:pt>
                <c:pt idx="16">
                  <c:v>3.612652229</c:v>
                </c:pt>
                <c:pt idx="17">
                  <c:v>3.960846359</c:v>
                </c:pt>
                <c:pt idx="18">
                  <c:v>4.2555037330000003</c:v>
                </c:pt>
                <c:pt idx="19">
                  <c:v>4.5500979629999998</c:v>
                </c:pt>
                <c:pt idx="20">
                  <c:v>4.828653267</c:v>
                </c:pt>
                <c:pt idx="21">
                  <c:v>5.0428634319999999</c:v>
                </c:pt>
                <c:pt idx="22">
                  <c:v>5.3107050710000001</c:v>
                </c:pt>
                <c:pt idx="23">
                  <c:v>5.6214645169999997</c:v>
                </c:pt>
                <c:pt idx="24">
                  <c:v>5.9161218919999996</c:v>
                </c:pt>
              </c:numCache>
            </c:numRef>
          </c:xVal>
          <c:yVal>
            <c:numRef>
              <c:f>'Abaco_Tempi_T50-n1'!$E$5:$E$29</c:f>
              <c:numCache>
                <c:formatCode>General</c:formatCode>
                <c:ptCount val="25"/>
                <c:pt idx="0">
                  <c:v>1.2932937242348585E-3</c:v>
                </c:pt>
                <c:pt idx="1">
                  <c:v>1.743533172236255E-3</c:v>
                </c:pt>
                <c:pt idx="2">
                  <c:v>2.7430269738905112E-3</c:v>
                </c:pt>
                <c:pt idx="3">
                  <c:v>4.0517518549360674E-3</c:v>
                </c:pt>
                <c:pt idx="4">
                  <c:v>5.8266998902486086E-3</c:v>
                </c:pt>
                <c:pt idx="5">
                  <c:v>8.1562678145576922E-3</c:v>
                </c:pt>
                <c:pt idx="6">
                  <c:v>1.2859293758908787E-2</c:v>
                </c:pt>
                <c:pt idx="7">
                  <c:v>1.9393000165963035E-2</c:v>
                </c:pt>
                <c:pt idx="8">
                  <c:v>2.6483110658622071E-2</c:v>
                </c:pt>
                <c:pt idx="9">
                  <c:v>3.3016597743903225E-2</c:v>
                </c:pt>
                <c:pt idx="10">
                  <c:v>4.0463392199980019E-2</c:v>
                </c:pt>
                <c:pt idx="11">
                  <c:v>4.6094680556856962E-2</c:v>
                </c:pt>
                <c:pt idx="12">
                  <c:v>5.0670479851745741E-2</c:v>
                </c:pt>
                <c:pt idx="13">
                  <c:v>5.4189807528368224E-2</c:v>
                </c:pt>
                <c:pt idx="14">
                  <c:v>5.6512188078962459E-2</c:v>
                </c:pt>
                <c:pt idx="15">
                  <c:v>5.7810509671153823E-2</c:v>
                </c:pt>
                <c:pt idx="16">
                  <c:v>5.7128119789919919E-2</c:v>
                </c:pt>
                <c:pt idx="17">
                  <c:v>5.7459019968711111E-2</c:v>
                </c:pt>
                <c:pt idx="18">
                  <c:v>5.7220489710536136E-2</c:v>
                </c:pt>
                <c:pt idx="19">
                  <c:v>5.8023379945705174E-2</c:v>
                </c:pt>
                <c:pt idx="20">
                  <c:v>5.8292091052277839E-2</c:v>
                </c:pt>
                <c:pt idx="21">
                  <c:v>5.9567762130572181E-2</c:v>
                </c:pt>
                <c:pt idx="22">
                  <c:v>5.983298987966934E-2</c:v>
                </c:pt>
                <c:pt idx="23">
                  <c:v>5.9063721165930644E-2</c:v>
                </c:pt>
                <c:pt idx="24">
                  <c:v>5.881851983930076E-2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3-4013-B5F6-284C5DE8D76E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'Abaco_Tempi_T50-n1'!$G$4:$G$5</c:f>
              <c:numCache>
                <c:formatCode>0.00</c:formatCode>
                <c:ptCount val="2"/>
                <c:pt idx="0" formatCode="0.000">
                  <c:v>2.6</c:v>
                </c:pt>
                <c:pt idx="1">
                  <c:v>2.6</c:v>
                </c:pt>
              </c:numCache>
            </c:numRef>
          </c:xVal>
          <c:yVal>
            <c:numRef>
              <c:f>'Abaco_Tempi_T50-n1'!$H$4:$H$5</c:f>
              <c:numCache>
                <c:formatCode>0.00</c:formatCode>
                <c:ptCount val="2"/>
                <c:pt idx="0" formatCode="0.000">
                  <c:v>7.6068952389001604E-2</c:v>
                </c:pt>
                <c:pt idx="1">
                  <c:v>5.4055500318714707E-2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A3-4013-B5F6-284C5DE8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T90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'Abaco_Tempi_T90-n1'!$A$5:$A$33</c:f>
              <c:numCache>
                <c:formatCode>General</c:formatCode>
                <c:ptCount val="29"/>
                <c:pt idx="0">
                  <c:v>0.50412111299999995</c:v>
                </c:pt>
                <c:pt idx="1">
                  <c:v>0.52957922400000002</c:v>
                </c:pt>
                <c:pt idx="2">
                  <c:v>0.613994068</c:v>
                </c:pt>
                <c:pt idx="3">
                  <c:v>0.70382889000000004</c:v>
                </c:pt>
                <c:pt idx="4">
                  <c:v>0.79917840799999995</c:v>
                </c:pt>
                <c:pt idx="5">
                  <c:v>0.91595525799999999</c:v>
                </c:pt>
                <c:pt idx="6">
                  <c:v>1.0648415309999999</c:v>
                </c:pt>
                <c:pt idx="7">
                  <c:v>1.240701405</c:v>
                </c:pt>
                <c:pt idx="8">
                  <c:v>1.379379176</c:v>
                </c:pt>
                <c:pt idx="9">
                  <c:v>1.5608484629999999</c:v>
                </c:pt>
                <c:pt idx="10">
                  <c:v>1.790529246</c:v>
                </c:pt>
                <c:pt idx="11">
                  <c:v>2.0096226540000002</c:v>
                </c:pt>
                <c:pt idx="12">
                  <c:v>2.239556018</c:v>
                </c:pt>
                <c:pt idx="13">
                  <c:v>2.491011431</c:v>
                </c:pt>
                <c:pt idx="14">
                  <c:v>2.7104837110000002</c:v>
                </c:pt>
                <c:pt idx="15">
                  <c:v>2.9567085820000001</c:v>
                </c:pt>
                <c:pt idx="16">
                  <c:v>3.1923145060000002</c:v>
                </c:pt>
                <c:pt idx="17">
                  <c:v>3.4333404079999998</c:v>
                </c:pt>
                <c:pt idx="18">
                  <c:v>3.6475505730000002</c:v>
                </c:pt>
                <c:pt idx="19">
                  <c:v>3.8564670510000001</c:v>
                </c:pt>
                <c:pt idx="20">
                  <c:v>4.1296339499999997</c:v>
                </c:pt>
                <c:pt idx="21">
                  <c:v>4.4295850120000004</c:v>
                </c:pt>
                <c:pt idx="22">
                  <c:v>4.7295360740000003</c:v>
                </c:pt>
                <c:pt idx="23">
                  <c:v>4.9812756419999999</c:v>
                </c:pt>
                <c:pt idx="24">
                  <c:v>5.3187561060000004</c:v>
                </c:pt>
                <c:pt idx="25">
                  <c:v>5.5759472240000001</c:v>
                </c:pt>
                <c:pt idx="26">
                  <c:v>5.91</c:v>
                </c:pt>
              </c:numCache>
            </c:numRef>
          </c:xVal>
          <c:yVal>
            <c:numRef>
              <c:f>'Abaco_Tempi_T90-n1'!$B$5:$B$33</c:f>
              <c:numCache>
                <c:formatCode>General</c:formatCode>
                <c:ptCount val="29"/>
                <c:pt idx="0">
                  <c:v>1.8320839799187836E-2</c:v>
                </c:pt>
                <c:pt idx="1">
                  <c:v>2.6801446567186953E-2</c:v>
                </c:pt>
                <c:pt idx="2">
                  <c:v>3.8892476411145079E-2</c:v>
                </c:pt>
                <c:pt idx="3">
                  <c:v>5.5431174954479481E-2</c:v>
                </c:pt>
                <c:pt idx="4">
                  <c:v>7.5515645663717351E-2</c:v>
                </c:pt>
                <c:pt idx="5">
                  <c:v>0.10291371545694859</c:v>
                </c:pt>
                <c:pt idx="6">
                  <c:v>0.14160209994634829</c:v>
                </c:pt>
                <c:pt idx="7">
                  <c:v>0.18462309893907372</c:v>
                </c:pt>
                <c:pt idx="8">
                  <c:v>0.21975616558127406</c:v>
                </c:pt>
                <c:pt idx="9">
                  <c:v>0.26654046714418878</c:v>
                </c:pt>
                <c:pt idx="10">
                  <c:v>0.32354323183640893</c:v>
                </c:pt>
                <c:pt idx="11">
                  <c:v>0.37871112757945136</c:v>
                </c:pt>
                <c:pt idx="12">
                  <c:v>0.42760726348832062</c:v>
                </c:pt>
                <c:pt idx="13">
                  <c:v>0.47005562596980704</c:v>
                </c:pt>
                <c:pt idx="14">
                  <c:v>0.49360158814316779</c:v>
                </c:pt>
                <c:pt idx="15">
                  <c:v>0.52327007558581795</c:v>
                </c:pt>
                <c:pt idx="16">
                  <c:v>0.53977276201160451</c:v>
                </c:pt>
                <c:pt idx="17">
                  <c:v>0.54686047922421499</c:v>
                </c:pt>
                <c:pt idx="18">
                  <c:v>0.55882800519139209</c:v>
                </c:pt>
                <c:pt idx="19">
                  <c:v>0.56076789046461373</c:v>
                </c:pt>
                <c:pt idx="20">
                  <c:v>0.56843421834961627</c:v>
                </c:pt>
                <c:pt idx="21">
                  <c:v>0.57646140029398907</c:v>
                </c:pt>
                <c:pt idx="22">
                  <c:v>0.58460194226847473</c:v>
                </c:pt>
                <c:pt idx="23">
                  <c:v>0.59238352009040751</c:v>
                </c:pt>
                <c:pt idx="24">
                  <c:v>0.59570887823045748</c:v>
                </c:pt>
                <c:pt idx="25">
                  <c:v>0.5875275520726384</c:v>
                </c:pt>
                <c:pt idx="26">
                  <c:v>0.5853591665044322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1-4A7B-9658-4B5175F450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'Abaco_Tempi_T90-n1'!$D$5:$D$29</c:f>
              <c:numCache>
                <c:formatCode>General</c:formatCode>
                <c:ptCount val="25"/>
                <c:pt idx="0">
                  <c:v>0.50947794599999996</c:v>
                </c:pt>
                <c:pt idx="1">
                  <c:v>0.545776013</c:v>
                </c:pt>
                <c:pt idx="2">
                  <c:v>0.61957190900000003</c:v>
                </c:pt>
                <c:pt idx="3">
                  <c:v>0.68823198200000002</c:v>
                </c:pt>
                <c:pt idx="4">
                  <c:v>0.78354992800000001</c:v>
                </c:pt>
                <c:pt idx="5">
                  <c:v>0.88447728800000003</c:v>
                </c:pt>
                <c:pt idx="6">
                  <c:v>0.98543622099999995</c:v>
                </c:pt>
                <c:pt idx="7">
                  <c:v>1.1558129699999999</c:v>
                </c:pt>
                <c:pt idx="8">
                  <c:v>1.363719122</c:v>
                </c:pt>
                <c:pt idx="9">
                  <c:v>1.582528376</c:v>
                </c:pt>
                <c:pt idx="10">
                  <c:v>1.801495493</c:v>
                </c:pt>
                <c:pt idx="11">
                  <c:v>2.0419530859999999</c:v>
                </c:pt>
                <c:pt idx="12">
                  <c:v>2.3361368709999999</c:v>
                </c:pt>
                <c:pt idx="13">
                  <c:v>2.6946657940000001</c:v>
                </c:pt>
                <c:pt idx="14">
                  <c:v>2.9462790710000002</c:v>
                </c:pt>
                <c:pt idx="15">
                  <c:v>3.321099501</c:v>
                </c:pt>
                <c:pt idx="16">
                  <c:v>3.6103368979999999</c:v>
                </c:pt>
                <c:pt idx="17">
                  <c:v>3.8192533759999998</c:v>
                </c:pt>
                <c:pt idx="18">
                  <c:v>4.1567022680000001</c:v>
                </c:pt>
                <c:pt idx="19">
                  <c:v>4.4084734079999999</c:v>
                </c:pt>
                <c:pt idx="20">
                  <c:v>4.6869971389999998</c:v>
                </c:pt>
                <c:pt idx="21">
                  <c:v>4.9387367070000003</c:v>
                </c:pt>
                <c:pt idx="22">
                  <c:v>5.1422647789999996</c:v>
                </c:pt>
                <c:pt idx="23">
                  <c:v>5.4744199829999998</c:v>
                </c:pt>
                <c:pt idx="24">
                  <c:v>5.7744341910000001</c:v>
                </c:pt>
              </c:numCache>
            </c:numRef>
          </c:xVal>
          <c:yVal>
            <c:numRef>
              <c:f>'Abaco_Tempi_T90-n1'!$E$5:$E$29</c:f>
              <c:numCache>
                <c:formatCode>General</c:formatCode>
                <c:ptCount val="25"/>
                <c:pt idx="0">
                  <c:v>1.8322407889122629E-2</c:v>
                </c:pt>
                <c:pt idx="1">
                  <c:v>2.5855732393324761E-2</c:v>
                </c:pt>
                <c:pt idx="2">
                  <c:v>3.6509057313195432E-2</c:v>
                </c:pt>
                <c:pt idx="3">
                  <c:v>4.8384116527816483E-2</c:v>
                </c:pt>
                <c:pt idx="4">
                  <c:v>6.6514136812114294E-2</c:v>
                </c:pt>
                <c:pt idx="5">
                  <c:v>8.5061247715071162E-2</c:v>
                </c:pt>
                <c:pt idx="6">
                  <c:v>0.10780032177107295</c:v>
                </c:pt>
                <c:pt idx="7">
                  <c:v>0.14571799330881546</c:v>
                </c:pt>
                <c:pt idx="8">
                  <c:v>0.19532043989988962</c:v>
                </c:pt>
                <c:pt idx="9">
                  <c:v>0.24801908975966455</c:v>
                </c:pt>
                <c:pt idx="10">
                  <c:v>0.30100744213893532</c:v>
                </c:pt>
                <c:pt idx="11">
                  <c:v>0.35889337842305741</c:v>
                </c:pt>
                <c:pt idx="12">
                  <c:v>0.40934965072888213</c:v>
                </c:pt>
                <c:pt idx="13">
                  <c:v>0.45901663671781195</c:v>
                </c:pt>
                <c:pt idx="14">
                  <c:v>0.48226678573366116</c:v>
                </c:pt>
                <c:pt idx="15">
                  <c:v>0.50773110748668593</c:v>
                </c:pt>
                <c:pt idx="16">
                  <c:v>0.51480959909022361</c:v>
                </c:pt>
                <c:pt idx="17">
                  <c:v>0.51659667575392454</c:v>
                </c:pt>
                <c:pt idx="18">
                  <c:v>0.52421778388403162</c:v>
                </c:pt>
                <c:pt idx="19">
                  <c:v>0.52641156606788486</c:v>
                </c:pt>
                <c:pt idx="20">
                  <c:v>0.53365562390654842</c:v>
                </c:pt>
                <c:pt idx="21">
                  <c:v>0.54075904976906353</c:v>
                </c:pt>
                <c:pt idx="22">
                  <c:v>0.54751903583886019</c:v>
                </c:pt>
                <c:pt idx="23">
                  <c:v>0.54558534018093163</c:v>
                </c:pt>
                <c:pt idx="24">
                  <c:v>0.54336870726232867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1-4A7B-9658-4B5175F450FA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'Abaco_Tempi_T90-n1'!$G$4:$G$5</c:f>
              <c:numCache>
                <c:formatCode>0.00</c:formatCode>
                <c:ptCount val="2"/>
                <c:pt idx="0" formatCode="0.000">
                  <c:v>2.6</c:v>
                </c:pt>
                <c:pt idx="1">
                  <c:v>2.6</c:v>
                </c:pt>
              </c:numCache>
            </c:numRef>
          </c:xVal>
          <c:yVal>
            <c:numRef>
              <c:f>'Abaco_Tempi_T90-n1'!$H$4:$H$5</c:f>
              <c:numCache>
                <c:formatCode>0.00</c:formatCode>
                <c:ptCount val="2"/>
                <c:pt idx="0" formatCode="0.000">
                  <c:v>0.48230946077125664</c:v>
                </c:pt>
                <c:pt idx="1">
                  <c:v>0.44739399990971529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1-4A7B-9658-4B5175F45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T50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'Abaco_Tempi_T50-n2,5'!$B$5:$B$33</c:f>
              <c:numCache>
                <c:formatCode>General</c:formatCode>
                <c:ptCount val="29"/>
                <c:pt idx="0">
                  <c:v>2.0210043696370934E-3</c:v>
                </c:pt>
                <c:pt idx="1">
                  <c:v>2.9170004664975588E-3</c:v>
                </c:pt>
                <c:pt idx="2">
                  <c:v>4.24799269503428E-3</c:v>
                </c:pt>
                <c:pt idx="3">
                  <c:v>6.07799782699489E-3</c:v>
                </c:pt>
                <c:pt idx="4">
                  <c:v>8.6980117377100773E-3</c:v>
                </c:pt>
                <c:pt idx="5">
                  <c:v>1.2561020562428315E-2</c:v>
                </c:pt>
                <c:pt idx="6">
                  <c:v>1.7821015241072151E-2</c:v>
                </c:pt>
                <c:pt idx="7">
                  <c:v>2.4612986385380314E-2</c:v>
                </c:pt>
                <c:pt idx="8">
                  <c:v>3.4003961259843341E-2</c:v>
                </c:pt>
                <c:pt idx="9">
                  <c:v>4.7832946246627525E-2</c:v>
                </c:pt>
                <c:pt idx="10">
                  <c:v>6.3205994118915421E-2</c:v>
                </c:pt>
                <c:pt idx="11">
                  <c:v>8.584096911969484E-2</c:v>
                </c:pt>
                <c:pt idx="12">
                  <c:v>0.11148596077731562</c:v>
                </c:pt>
                <c:pt idx="13">
                  <c:v>0.13732098403165646</c:v>
                </c:pt>
                <c:pt idx="14">
                  <c:v>0.16464706296389245</c:v>
                </c:pt>
                <c:pt idx="15">
                  <c:v>0.20697196991346395</c:v>
                </c:pt>
                <c:pt idx="16">
                  <c:v>0.22710101644194736</c:v>
                </c:pt>
                <c:pt idx="17">
                  <c:v>0.24693298463785923</c:v>
                </c:pt>
                <c:pt idx="18">
                  <c:v>0.26142498703928235</c:v>
                </c:pt>
                <c:pt idx="19">
                  <c:v>0.27694700904279157</c:v>
                </c:pt>
                <c:pt idx="20">
                  <c:v>0.29621301416392631</c:v>
                </c:pt>
                <c:pt idx="21">
                  <c:v>0.31428402848563253</c:v>
                </c:pt>
                <c:pt idx="22">
                  <c:v>0.32969301011921143</c:v>
                </c:pt>
                <c:pt idx="23">
                  <c:v>0.33990400299435652</c:v>
                </c:pt>
                <c:pt idx="24">
                  <c:v>0.35034600422627959</c:v>
                </c:pt>
                <c:pt idx="25">
                  <c:v>0.36517399773499926</c:v>
                </c:pt>
                <c:pt idx="26">
                  <c:v>0.36708034840526044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E-41CA-B52B-DBF2D0E9D64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'Abaco_Tempi_T50-n2,5'!$E$5:$E$30</c:f>
              <c:numCache>
                <c:formatCode>General</c:formatCode>
                <c:ptCount val="26"/>
                <c:pt idx="0">
                  <c:v>5.3460005432961659E-3</c:v>
                </c:pt>
                <c:pt idx="1">
                  <c:v>7.3089675421261959E-3</c:v>
                </c:pt>
                <c:pt idx="2">
                  <c:v>1.1425963454025478E-2</c:v>
                </c:pt>
                <c:pt idx="3">
                  <c:v>1.7089995630446015E-2</c:v>
                </c:pt>
                <c:pt idx="4">
                  <c:v>2.5799050010828568E-2</c:v>
                </c:pt>
                <c:pt idx="5">
                  <c:v>3.8275009716070126E-2</c:v>
                </c:pt>
                <c:pt idx="6">
                  <c:v>5.4336035196335578E-2</c:v>
                </c:pt>
                <c:pt idx="7">
                  <c:v>7.6458068858694259E-2</c:v>
                </c:pt>
                <c:pt idx="8">
                  <c:v>0.10020504456037481</c:v>
                </c:pt>
                <c:pt idx="9">
                  <c:v>0.13260303757471215</c:v>
                </c:pt>
                <c:pt idx="10">
                  <c:v>0.16482205017751844</c:v>
                </c:pt>
                <c:pt idx="11">
                  <c:v>0.19770105664346133</c:v>
                </c:pt>
                <c:pt idx="12">
                  <c:v>0.22481102871781575</c:v>
                </c:pt>
                <c:pt idx="13">
                  <c:v>0.25807705136692605</c:v>
                </c:pt>
                <c:pt idx="14">
                  <c:v>0.27827899489363589</c:v>
                </c:pt>
                <c:pt idx="15">
                  <c:v>0.29470700543002748</c:v>
                </c:pt>
                <c:pt idx="16">
                  <c:v>0.30935601403906848</c:v>
                </c:pt>
                <c:pt idx="17">
                  <c:v>0.32177000626529606</c:v>
                </c:pt>
                <c:pt idx="18">
                  <c:v>0.32905499324805165</c:v>
                </c:pt>
                <c:pt idx="19">
                  <c:v>0.34231501913474938</c:v>
                </c:pt>
                <c:pt idx="20">
                  <c:v>0.3638470075574407</c:v>
                </c:pt>
                <c:pt idx="21">
                  <c:v>0.37526798731994593</c:v>
                </c:pt>
                <c:pt idx="22">
                  <c:v>0.38348497914913832</c:v>
                </c:pt>
                <c:pt idx="23">
                  <c:v>0.39536201361336459</c:v>
                </c:pt>
                <c:pt idx="24">
                  <c:v>0.39700000019310933</c:v>
                </c:pt>
                <c:pt idx="25">
                  <c:v>0.40208523597817275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E-41CA-B52B-DBF2D0E9D64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'Abaco_Tempi_T50-n2,5'!$H$5:$H$22</c:f>
              <c:numCache>
                <c:formatCode>General</c:formatCode>
                <c:ptCount val="18"/>
                <c:pt idx="0">
                  <c:v>0.1985733873920516</c:v>
                </c:pt>
                <c:pt idx="1">
                  <c:v>0.21992700000000007</c:v>
                </c:pt>
                <c:pt idx="2">
                  <c:v>0.24127599273528644</c:v>
                </c:pt>
                <c:pt idx="3">
                  <c:v>0.26737403604303528</c:v>
                </c:pt>
                <c:pt idx="4">
                  <c:v>0.29359097053663646</c:v>
                </c:pt>
                <c:pt idx="5">
                  <c:v>0.32248301450793188</c:v>
                </c:pt>
                <c:pt idx="6">
                  <c:v>0.34812098816608988</c:v>
                </c:pt>
                <c:pt idx="7">
                  <c:v>0.37248903342294459</c:v>
                </c:pt>
                <c:pt idx="8">
                  <c:v>0.39878901709848236</c:v>
                </c:pt>
                <c:pt idx="9">
                  <c:v>0.41908798309750089</c:v>
                </c:pt>
                <c:pt idx="10">
                  <c:v>0.43234800043611304</c:v>
                </c:pt>
                <c:pt idx="11">
                  <c:v>0.44617198266716435</c:v>
                </c:pt>
                <c:pt idx="12">
                  <c:v>0.45605101306603252</c:v>
                </c:pt>
                <c:pt idx="13">
                  <c:v>0.46637600064736801</c:v>
                </c:pt>
                <c:pt idx="14">
                  <c:v>0.47716701590271038</c:v>
                </c:pt>
                <c:pt idx="15">
                  <c:v>0.48852400582937483</c:v>
                </c:pt>
                <c:pt idx="16">
                  <c:v>0.49026999924269071</c:v>
                </c:pt>
                <c:pt idx="17">
                  <c:v>0.49780198554795052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CE-41CA-B52B-DBF2D0E9D64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'Abaco_Tempi_T50-n2,5'!$K$5:$K$25</c:f>
              <c:numCache>
                <c:formatCode>General</c:formatCode>
                <c:ptCount val="21"/>
                <c:pt idx="0">
                  <c:v>0.25951259032032836</c:v>
                </c:pt>
                <c:pt idx="1">
                  <c:v>0.27201497310090633</c:v>
                </c:pt>
                <c:pt idx="2">
                  <c:v>0.28802601051864113</c:v>
                </c:pt>
                <c:pt idx="3">
                  <c:v>0.3046330397125705</c:v>
                </c:pt>
                <c:pt idx="4">
                  <c:v>0.32256400000000007</c:v>
                </c:pt>
                <c:pt idx="5">
                  <c:v>0.34449996835099445</c:v>
                </c:pt>
                <c:pt idx="6">
                  <c:v>0.36474799556220783</c:v>
                </c:pt>
                <c:pt idx="7">
                  <c:v>0.38269302634840208</c:v>
                </c:pt>
                <c:pt idx="8">
                  <c:v>0.41288398742526428</c:v>
                </c:pt>
                <c:pt idx="9">
                  <c:v>0.42601598702588378</c:v>
                </c:pt>
                <c:pt idx="10">
                  <c:v>0.44304000621555478</c:v>
                </c:pt>
                <c:pt idx="11">
                  <c:v>0.45754002189722848</c:v>
                </c:pt>
                <c:pt idx="12">
                  <c:v>0.4759389740336637</c:v>
                </c:pt>
                <c:pt idx="13">
                  <c:v>0.49127600361247037</c:v>
                </c:pt>
                <c:pt idx="14">
                  <c:v>0.50723102143766052</c:v>
                </c:pt>
                <c:pt idx="15">
                  <c:v>0.51867299429002967</c:v>
                </c:pt>
                <c:pt idx="16">
                  <c:v>0.52523499241092253</c:v>
                </c:pt>
                <c:pt idx="17">
                  <c:v>0.53703899261461274</c:v>
                </c:pt>
                <c:pt idx="18">
                  <c:v>0.54440699694016448</c:v>
                </c:pt>
                <c:pt idx="19">
                  <c:v>0.54635200087365943</c:v>
                </c:pt>
                <c:pt idx="20">
                  <c:v>0.55912431344525604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CE-41CA-B52B-DBF2D0E9D64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'Abaco_Tempi_T50-n2,5'!$M$4:$M$7</c:f>
              <c:numCache>
                <c:formatCode>0.00</c:formatCode>
                <c:ptCount val="4"/>
                <c:pt idx="0" formatCode="0.000">
                  <c:v>2.6</c:v>
                </c:pt>
                <c:pt idx="1">
                  <c:v>2.6</c:v>
                </c:pt>
                <c:pt idx="2" formatCode="0.000">
                  <c:v>2.6</c:v>
                </c:pt>
                <c:pt idx="3">
                  <c:v>2.6</c:v>
                </c:pt>
              </c:numCache>
            </c:numRef>
          </c:xVal>
          <c:yVal>
            <c:numRef>
              <c:f>'Abaco_Tempi_T50-n2,5'!$N$4:$N$7</c:f>
              <c:numCache>
                <c:formatCode>0.00</c:formatCode>
                <c:ptCount val="4"/>
                <c:pt idx="0" formatCode="0.000">
                  <c:v>0.19704641230993944</c:v>
                </c:pt>
                <c:pt idx="1">
                  <c:v>0.26359606146176162</c:v>
                </c:pt>
                <c:pt idx="2" formatCode="0.000">
                  <c:v>0.37171557150582218</c:v>
                </c:pt>
                <c:pt idx="3">
                  <c:v>0.42411245232827782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E-41CA-B52B-DBF2D0E9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T90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2.8813728770611274E-3</c:v>
                </c:pt>
                <c:pt idx="1">
                  <c:v>4.3700000000000006E-3</c:v>
                </c:pt>
                <c:pt idx="2">
                  <c:v>6.0559969682797291E-3</c:v>
                </c:pt>
                <c:pt idx="3">
                  <c:v>8.0670000000000047E-3</c:v>
                </c:pt>
                <c:pt idx="4">
                  <c:v>1.1096000000000007E-2</c:v>
                </c:pt>
                <c:pt idx="5">
                  <c:v>1.4788992055949102E-2</c:v>
                </c:pt>
                <c:pt idx="6">
                  <c:v>1.9096991660581996E-2</c:v>
                </c:pt>
                <c:pt idx="7">
                  <c:v>2.3516000000000009E-2</c:v>
                </c:pt>
                <c:pt idx="8">
                  <c:v>2.8970011423603018E-2</c:v>
                </c:pt>
                <c:pt idx="9">
                  <c:v>3.485701112168868E-2</c:v>
                </c:pt>
                <c:pt idx="10">
                  <c:v>3.9977992483506947E-2</c:v>
                </c:pt>
                <c:pt idx="11">
                  <c:v>4.5501993799854361E-2</c:v>
                </c:pt>
                <c:pt idx="12">
                  <c:v>4.9779000000000004E-2</c:v>
                </c:pt>
                <c:pt idx="13">
                  <c:v>5.4027005082901911E-2</c:v>
                </c:pt>
                <c:pt idx="14">
                  <c:v>5.8678003998634438E-2</c:v>
                </c:pt>
                <c:pt idx="15">
                  <c:v>6.2207005676137316E-2</c:v>
                </c:pt>
                <c:pt idx="16">
                  <c:v>6.5968003204288778E-2</c:v>
                </c:pt>
                <c:pt idx="17">
                  <c:v>6.8283001065753149E-2</c:v>
                </c:pt>
                <c:pt idx="18">
                  <c:v>7.0099002633569482E-2</c:v>
                </c:pt>
                <c:pt idx="19">
                  <c:v>7.2555000000000008E-2</c:v>
                </c:pt>
                <c:pt idx="20">
                  <c:v>7.455699784951908E-2</c:v>
                </c:pt>
                <c:pt idx="21">
                  <c:v>7.596499833732448E-2</c:v>
                </c:pt>
                <c:pt idx="22">
                  <c:v>7.8084000000000015E-2</c:v>
                </c:pt>
                <c:pt idx="23">
                  <c:v>7.9635999102565025E-2</c:v>
                </c:pt>
                <c:pt idx="24">
                  <c:v>7.9829999929621309E-2</c:v>
                </c:pt>
                <c:pt idx="25">
                  <c:v>8.0009846127441747E-2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2-423B-BED3-B5DF300983A4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'Abaco_Tempi_T90-n2,5'!$D$5:$D$29</c:f>
              <c:numCache>
                <c:formatCode>General</c:formatCode>
                <c:ptCount val="25"/>
                <c:pt idx="0">
                  <c:v>0.52</c:v>
                </c:pt>
                <c:pt idx="1">
                  <c:v>0.55714286000000002</c:v>
                </c:pt>
                <c:pt idx="2">
                  <c:v>0.59464286</c:v>
                </c:pt>
                <c:pt idx="3">
                  <c:v>0.63214285999999997</c:v>
                </c:pt>
                <c:pt idx="4">
                  <c:v>0.69107143000000004</c:v>
                </c:pt>
                <c:pt idx="5">
                  <c:v>0.77142856999999998</c:v>
                </c:pt>
                <c:pt idx="6">
                  <c:v>0.87857143000000004</c:v>
                </c:pt>
                <c:pt idx="7">
                  <c:v>0.98035713999999996</c:v>
                </c:pt>
                <c:pt idx="8">
                  <c:v>1.15714286</c:v>
                </c:pt>
                <c:pt idx="9">
                  <c:v>1.3232142899999999</c:v>
                </c:pt>
                <c:pt idx="10">
                  <c:v>1.47321429</c:v>
                </c:pt>
                <c:pt idx="11">
                  <c:v>1.6982142899999999</c:v>
                </c:pt>
                <c:pt idx="12">
                  <c:v>1.9982142899999999</c:v>
                </c:pt>
                <c:pt idx="13">
                  <c:v>2.2660714300000002</c:v>
                </c:pt>
                <c:pt idx="14">
                  <c:v>2.5499999999999998</c:v>
                </c:pt>
                <c:pt idx="15">
                  <c:v>2.94107143</c:v>
                </c:pt>
                <c:pt idx="16">
                  <c:v>3.2357142900000002</c:v>
                </c:pt>
                <c:pt idx="17">
                  <c:v>3.4821428600000002</c:v>
                </c:pt>
                <c:pt idx="18">
                  <c:v>3.7875000000000001</c:v>
                </c:pt>
                <c:pt idx="19">
                  <c:v>4.1785714299999999</c:v>
                </c:pt>
                <c:pt idx="20">
                  <c:v>4.5803571400000003</c:v>
                </c:pt>
                <c:pt idx="21">
                  <c:v>5.0250000000000004</c:v>
                </c:pt>
                <c:pt idx="22">
                  <c:v>5.2821428600000004</c:v>
                </c:pt>
                <c:pt idx="23">
                  <c:v>5.5392857099999997</c:v>
                </c:pt>
                <c:pt idx="24">
                  <c:v>5.7374999999999998</c:v>
                </c:pt>
              </c:numCache>
            </c:numRef>
          </c:xVal>
          <c:yVal>
            <c:numRef>
              <c:f>'Abaco_Tempi_T90-n2,5'!$E$5:$E$29</c:f>
              <c:numCache>
                <c:formatCode>General</c:formatCode>
                <c:ptCount val="25"/>
                <c:pt idx="0">
                  <c:v>2.8856291784645962E-3</c:v>
                </c:pt>
                <c:pt idx="1">
                  <c:v>4.5109949338759409E-3</c:v>
                </c:pt>
                <c:pt idx="2">
                  <c:v>5.6809957298928123E-3</c:v>
                </c:pt>
                <c:pt idx="3">
                  <c:v>6.9309952828613833E-3</c:v>
                </c:pt>
                <c:pt idx="4">
                  <c:v>8.8010140932980301E-3</c:v>
                </c:pt>
                <c:pt idx="5">
                  <c:v>1.1722984617118995E-2</c:v>
                </c:pt>
                <c:pt idx="6">
                  <c:v>1.5012012836898927E-2</c:v>
                </c:pt>
                <c:pt idx="7">
                  <c:v>1.8474005275351077E-2</c:v>
                </c:pt>
                <c:pt idx="8">
                  <c:v>2.5426994926294119E-2</c:v>
                </c:pt>
                <c:pt idx="9">
                  <c:v>3.0819010028767895E-2</c:v>
                </c:pt>
                <c:pt idx="10">
                  <c:v>3.6759011773331136E-2</c:v>
                </c:pt>
                <c:pt idx="11">
                  <c:v>4.4938009916525211E-2</c:v>
                </c:pt>
                <c:pt idx="12">
                  <c:v>5.5417010349523683E-2</c:v>
                </c:pt>
                <c:pt idx="13">
                  <c:v>6.4624013213814072E-2</c:v>
                </c:pt>
                <c:pt idx="14">
                  <c:v>7.1867000000000014E-2</c:v>
                </c:pt>
                <c:pt idx="15">
                  <c:v>8.0012009032012235E-2</c:v>
                </c:pt>
                <c:pt idx="16">
                  <c:v>8.5525003676372099E-2</c:v>
                </c:pt>
                <c:pt idx="17">
                  <c:v>8.7815998459837313E-2</c:v>
                </c:pt>
                <c:pt idx="18">
                  <c:v>9.2398999999999981E-2</c:v>
                </c:pt>
                <c:pt idx="19">
                  <c:v>9.6539004730779351E-2</c:v>
                </c:pt>
                <c:pt idx="20">
                  <c:v>0.10168100160468624</c:v>
                </c:pt>
                <c:pt idx="21">
                  <c:v>0.10545800000000004</c:v>
                </c:pt>
                <c:pt idx="22">
                  <c:v>0.10743799908034013</c:v>
                </c:pt>
                <c:pt idx="23">
                  <c:v>0.10858999927368987</c:v>
                </c:pt>
                <c:pt idx="24">
                  <c:v>0.10881799999999998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92-423B-BED3-B5DF300983A4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'Abaco_Tempi_T90-n2,5'!$G$5:$G$29</c:f>
              <c:numCache>
                <c:formatCode>General</c:formatCode>
                <c:ptCount val="25"/>
                <c:pt idx="0">
                  <c:v>0.52</c:v>
                </c:pt>
                <c:pt idx="1">
                  <c:v>0.71785714</c:v>
                </c:pt>
                <c:pt idx="2">
                  <c:v>0.9</c:v>
                </c:pt>
                <c:pt idx="3">
                  <c:v>1.06607143</c:v>
                </c:pt>
                <c:pt idx="4">
                  <c:v>1.2749999999999999</c:v>
                </c:pt>
                <c:pt idx="5">
                  <c:v>1.4785714299999999</c:v>
                </c:pt>
                <c:pt idx="6">
                  <c:v>1.65</c:v>
                </c:pt>
                <c:pt idx="7">
                  <c:v>1.8696428599999999</c:v>
                </c:pt>
                <c:pt idx="8">
                  <c:v>2.0571428599999999</c:v>
                </c:pt>
                <c:pt idx="9">
                  <c:v>2.28214286</c:v>
                </c:pt>
                <c:pt idx="10">
                  <c:v>2.4910714299999999</c:v>
                </c:pt>
                <c:pt idx="11">
                  <c:v>2.7267857100000001</c:v>
                </c:pt>
                <c:pt idx="12">
                  <c:v>3.0053571400000001</c:v>
                </c:pt>
                <c:pt idx="13">
                  <c:v>3.21428571</c:v>
                </c:pt>
                <c:pt idx="14">
                  <c:v>3.4767857100000001</c:v>
                </c:pt>
                <c:pt idx="15">
                  <c:v>3.72321429</c:v>
                </c:pt>
                <c:pt idx="16">
                  <c:v>3.9428571400000001</c:v>
                </c:pt>
                <c:pt idx="17">
                  <c:v>4.2053571400000003</c:v>
                </c:pt>
                <c:pt idx="18">
                  <c:v>4.4196428599999997</c:v>
                </c:pt>
                <c:pt idx="19">
                  <c:v>4.7035714300000002</c:v>
                </c:pt>
                <c:pt idx="20">
                  <c:v>4.9124999999999996</c:v>
                </c:pt>
                <c:pt idx="21">
                  <c:v>5.2232142899999996</c:v>
                </c:pt>
                <c:pt idx="22">
                  <c:v>5.5232142900000003</c:v>
                </c:pt>
                <c:pt idx="23">
                  <c:v>5.8446428600000004</c:v>
                </c:pt>
                <c:pt idx="24">
                  <c:v>5.9678000000000004</c:v>
                </c:pt>
              </c:numCache>
            </c:numRef>
          </c:xVal>
          <c:yVal>
            <c:numRef>
              <c:f>'Abaco_Tempi_T90-n2,5'!$H$5:$H$29</c:f>
              <c:numCache>
                <c:formatCode>General</c:formatCode>
                <c:ptCount val="25"/>
                <c:pt idx="0">
                  <c:v>0.10485616056430705</c:v>
                </c:pt>
                <c:pt idx="1">
                  <c:v>0.11531800834045777</c:v>
                </c:pt>
                <c:pt idx="2">
                  <c:v>0.12608500000000003</c:v>
                </c:pt>
                <c:pt idx="3">
                  <c:v>0.13459102232567244</c:v>
                </c:pt>
                <c:pt idx="4">
                  <c:v>0.14603500000000003</c:v>
                </c:pt>
                <c:pt idx="5">
                  <c:v>0.15594801931723803</c:v>
                </c:pt>
                <c:pt idx="6">
                  <c:v>0.16385400000000003</c:v>
                </c:pt>
                <c:pt idx="7">
                  <c:v>0.17500699458913785</c:v>
                </c:pt>
                <c:pt idx="8">
                  <c:v>0.18101299433418755</c:v>
                </c:pt>
                <c:pt idx="9">
                  <c:v>0.19334399248007869</c:v>
                </c:pt>
                <c:pt idx="10">
                  <c:v>0.20161901200955315</c:v>
                </c:pt>
                <c:pt idx="11">
                  <c:v>0.20699499334973417</c:v>
                </c:pt>
                <c:pt idx="12">
                  <c:v>0.2143060036746218</c:v>
                </c:pt>
                <c:pt idx="13">
                  <c:v>0.21995799091748011</c:v>
                </c:pt>
                <c:pt idx="14">
                  <c:v>0.22768799551489802</c:v>
                </c:pt>
                <c:pt idx="15">
                  <c:v>0.22828300035013607</c:v>
                </c:pt>
                <c:pt idx="16">
                  <c:v>0.23063800283990082</c:v>
                </c:pt>
                <c:pt idx="17">
                  <c:v>0.23685500262192591</c:v>
                </c:pt>
                <c:pt idx="18">
                  <c:v>0.23928499892726848</c:v>
                </c:pt>
                <c:pt idx="19">
                  <c:v>0.24191900534137889</c:v>
                </c:pt>
                <c:pt idx="20">
                  <c:v>0.24438700000000002</c:v>
                </c:pt>
                <c:pt idx="21">
                  <c:v>0.24519300197181412</c:v>
                </c:pt>
                <c:pt idx="22">
                  <c:v>0.24793300034344848</c:v>
                </c:pt>
                <c:pt idx="23">
                  <c:v>0.24681099905900836</c:v>
                </c:pt>
                <c:pt idx="24">
                  <c:v>0.24910113102511228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92-423B-BED3-B5DF300983A4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'Abaco_Tempi_T90-n2,5'!$J$5:$J$27</c:f>
              <c:numCache>
                <c:formatCode>General</c:formatCode>
                <c:ptCount val="23"/>
                <c:pt idx="0">
                  <c:v>0.52500000000000002</c:v>
                </c:pt>
                <c:pt idx="1">
                  <c:v>0.69107143000000004</c:v>
                </c:pt>
                <c:pt idx="2">
                  <c:v>0.87321428999999995</c:v>
                </c:pt>
                <c:pt idx="3">
                  <c:v>0.98571428999999999</c:v>
                </c:pt>
                <c:pt idx="4">
                  <c:v>1.15714286</c:v>
                </c:pt>
                <c:pt idx="5">
                  <c:v>1.28571429</c:v>
                </c:pt>
                <c:pt idx="6">
                  <c:v>1.4624999999999999</c:v>
                </c:pt>
                <c:pt idx="7">
                  <c:v>1.63928571</c:v>
                </c:pt>
                <c:pt idx="8">
                  <c:v>1.81607143</c:v>
                </c:pt>
                <c:pt idx="9">
                  <c:v>2.1107142900000002</c:v>
                </c:pt>
                <c:pt idx="10">
                  <c:v>2.34642857</c:v>
                </c:pt>
                <c:pt idx="11">
                  <c:v>2.53392857</c:v>
                </c:pt>
                <c:pt idx="12">
                  <c:v>2.7749999999999999</c:v>
                </c:pt>
                <c:pt idx="13">
                  <c:v>2.9464285700000001</c:v>
                </c:pt>
                <c:pt idx="14">
                  <c:v>3.1392857099999998</c:v>
                </c:pt>
                <c:pt idx="15">
                  <c:v>3.3696428599999999</c:v>
                </c:pt>
                <c:pt idx="16">
                  <c:v>3.6696428600000002</c:v>
                </c:pt>
                <c:pt idx="17">
                  <c:v>3.91071429</c:v>
                </c:pt>
                <c:pt idx="18">
                  <c:v>4.1464285700000003</c:v>
                </c:pt>
                <c:pt idx="19">
                  <c:v>4.4464285700000001</c:v>
                </c:pt>
                <c:pt idx="20">
                  <c:v>4.9178571399999997</c:v>
                </c:pt>
                <c:pt idx="21">
                  <c:v>5.4428571400000001</c:v>
                </c:pt>
                <c:pt idx="22">
                  <c:v>5.7374999999999998</c:v>
                </c:pt>
              </c:numCache>
            </c:numRef>
          </c:xVal>
          <c:yVal>
            <c:numRef>
              <c:f>'Abaco_Tempi_T90-n2,5'!$K$5:$K$27</c:f>
              <c:numCache>
                <c:formatCode>General</c:formatCode>
                <c:ptCount val="23"/>
                <c:pt idx="0">
                  <c:v>0.18978000000000003</c:v>
                </c:pt>
                <c:pt idx="1">
                  <c:v>0.19781402255329458</c:v>
                </c:pt>
                <c:pt idx="2">
                  <c:v>0.20622200980142474</c:v>
                </c:pt>
                <c:pt idx="3">
                  <c:v>0.20977301123797504</c:v>
                </c:pt>
                <c:pt idx="4">
                  <c:v>0.21866499271206266</c:v>
                </c:pt>
                <c:pt idx="5">
                  <c:v>0.22424101044697331</c:v>
                </c:pt>
                <c:pt idx="6">
                  <c:v>0.23007600000000009</c:v>
                </c:pt>
                <c:pt idx="7">
                  <c:v>0.2379459839546772</c:v>
                </c:pt>
                <c:pt idx="8">
                  <c:v>0.24804602055525454</c:v>
                </c:pt>
                <c:pt idx="9">
                  <c:v>0.25685000860193513</c:v>
                </c:pt>
                <c:pt idx="10">
                  <c:v>0.2658009828371613</c:v>
                </c:pt>
                <c:pt idx="11">
                  <c:v>0.27274898491960176</c:v>
                </c:pt>
                <c:pt idx="12">
                  <c:v>0.28003800000000001</c:v>
                </c:pt>
                <c:pt idx="13">
                  <c:v>0.2827829945054437</c:v>
                </c:pt>
                <c:pt idx="14">
                  <c:v>0.28561999442106117</c:v>
                </c:pt>
                <c:pt idx="15">
                  <c:v>0.29089999696819591</c:v>
                </c:pt>
                <c:pt idx="16">
                  <c:v>0.29649699706356741</c:v>
                </c:pt>
                <c:pt idx="17">
                  <c:v>0.30201200591134575</c:v>
                </c:pt>
                <c:pt idx="18">
                  <c:v>0.30517999725540795</c:v>
                </c:pt>
                <c:pt idx="19">
                  <c:v>0.30615099738976392</c:v>
                </c:pt>
                <c:pt idx="20">
                  <c:v>0.31260800209636902</c:v>
                </c:pt>
                <c:pt idx="21">
                  <c:v>0.31685600002089231</c:v>
                </c:pt>
                <c:pt idx="22">
                  <c:v>0.31533200000000006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2-423B-BED3-B5DF300983A4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'Abaco_Tempi_T90-n2,5'!$M$4:$M$7</c:f>
              <c:numCache>
                <c:formatCode>0.00</c:formatCode>
                <c:ptCount val="4"/>
                <c:pt idx="0" formatCode="0.000">
                  <c:v>2.6</c:v>
                </c:pt>
                <c:pt idx="1">
                  <c:v>2.6</c:v>
                </c:pt>
                <c:pt idx="2" formatCode="0.000">
                  <c:v>2.6</c:v>
                </c:pt>
                <c:pt idx="3">
                  <c:v>2.6</c:v>
                </c:pt>
              </c:numCache>
            </c:numRef>
          </c:xVal>
          <c:yVal>
            <c:numRef>
              <c:f>'Abaco_Tempi_T90-n2,5'!$N$4:$N$7</c:f>
              <c:numCache>
                <c:formatCode>0.00</c:formatCode>
                <c:ptCount val="4"/>
                <c:pt idx="0" formatCode="0.000">
                  <c:v>5.405827942772571E-2</c:v>
                </c:pt>
                <c:pt idx="1">
                  <c:v>7.2950767196820976E-2</c:v>
                </c:pt>
                <c:pt idx="2" formatCode="0.000">
                  <c:v>0.20426350652921615</c:v>
                </c:pt>
                <c:pt idx="3">
                  <c:v>0.27502410338734279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2-423B-BED3-B5DF30098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Fattore di portata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</c:v>
          </c:tx>
          <c:spPr>
            <a:ln w="254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Abaco_Portata!$A$4:$A$21</c:f>
              <c:numCache>
                <c:formatCode>General</c:formatCode>
                <c:ptCount val="18"/>
                <c:pt idx="0">
                  <c:v>0</c:v>
                </c:pt>
                <c:pt idx="1">
                  <c:v>4.1760440000000003E-2</c:v>
                </c:pt>
                <c:pt idx="2">
                  <c:v>0.17815168077733701</c:v>
                </c:pt>
                <c:pt idx="3">
                  <c:v>0.30396884935519602</c:v>
                </c:pt>
                <c:pt idx="4">
                  <c:v>0.408316364805487</c:v>
                </c:pt>
                <c:pt idx="5">
                  <c:v>0.52280927374700803</c:v>
                </c:pt>
                <c:pt idx="6">
                  <c:v>0.73028971528596398</c:v>
                </c:pt>
                <c:pt idx="7">
                  <c:v>0.93723430857714396</c:v>
                </c:pt>
                <c:pt idx="8">
                  <c:v>1.08173471939413</c:v>
                </c:pt>
                <c:pt idx="9">
                  <c:v>1.27760511556461</c:v>
                </c:pt>
                <c:pt idx="10">
                  <c:v>1.6071160647304701</c:v>
                </c:pt>
                <c:pt idx="11">
                  <c:v>1.9467724073875601</c:v>
                </c:pt>
                <c:pt idx="12">
                  <c:v>2.4303218661808299</c:v>
                </c:pt>
                <c:pt idx="13">
                  <c:v>2.9241238881148899</c:v>
                </c:pt>
                <c:pt idx="14">
                  <c:v>3.3767013181866901</c:v>
                </c:pt>
                <c:pt idx="15">
                  <c:v>3.7470796270496201</c:v>
                </c:pt>
                <c:pt idx="16">
                  <c:v>4.2204122459186202</c:v>
                </c:pt>
                <c:pt idx="17">
                  <c:v>4.8994</c:v>
                </c:pt>
              </c:numCache>
            </c:numRef>
          </c:xVal>
          <c:yVal>
            <c:numRef>
              <c:f>Abaco_Portata!$B$4:$B$21</c:f>
              <c:numCache>
                <c:formatCode>General</c:formatCode>
                <c:ptCount val="18"/>
                <c:pt idx="0">
                  <c:v>0</c:v>
                </c:pt>
                <c:pt idx="1">
                  <c:v>7.5096864621595122E-2</c:v>
                </c:pt>
                <c:pt idx="2">
                  <c:v>0.38376924266523693</c:v>
                </c:pt>
                <c:pt idx="3">
                  <c:v>0.65908471481097952</c:v>
                </c:pt>
                <c:pt idx="4">
                  <c:v>0.83017953606200412</c:v>
                </c:pt>
                <c:pt idx="5">
                  <c:v>0.98463232947960933</c:v>
                </c:pt>
                <c:pt idx="6">
                  <c:v>1.1851507719490446</c:v>
                </c:pt>
                <c:pt idx="7">
                  <c:v>1.3231681519305845</c:v>
                </c:pt>
                <c:pt idx="8">
                  <c:v>1.3776959165110092</c:v>
                </c:pt>
                <c:pt idx="9">
                  <c:v>1.4240190202172887</c:v>
                </c:pt>
                <c:pt idx="10">
                  <c:v>1.4581760042414491</c:v>
                </c:pt>
                <c:pt idx="11">
                  <c:v>1.4756920117324401</c:v>
                </c:pt>
                <c:pt idx="12">
                  <c:v>1.476901000686512</c:v>
                </c:pt>
                <c:pt idx="13">
                  <c:v>1.4739680021068864</c:v>
                </c:pt>
                <c:pt idx="14">
                  <c:v>1.4625999952890942</c:v>
                </c:pt>
                <c:pt idx="15">
                  <c:v>1.4635259943736212</c:v>
                </c:pt>
                <c:pt idx="16">
                  <c:v>1.4730430049414776</c:v>
                </c:pt>
                <c:pt idx="17">
                  <c:v>1.4747409925748154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DD2-BA64-829B12440D9D}"/>
            </c:ext>
          </c:extLst>
        </c:ser>
        <c:ser>
          <c:idx val="1"/>
          <c:order val="1"/>
          <c:tx>
            <c:v>Prog.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Abaco_Portata!$E$5</c:f>
              <c:numCache>
                <c:formatCode>0.000</c:formatCode>
                <c:ptCount val="1"/>
                <c:pt idx="0">
                  <c:v>1.3</c:v>
                </c:pt>
              </c:numCache>
            </c:numRef>
          </c:xVal>
          <c:yVal>
            <c:numRef>
              <c:f>Abaco_Portata!$F$5</c:f>
              <c:numCache>
                <c:formatCode>0.000</c:formatCode>
                <c:ptCount val="1"/>
                <c:pt idx="0">
                  <c:v>1.427781338320802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4DD2-BA64-829B1244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26240"/>
        <c:axId val="1523146800"/>
      </c:scatterChart>
      <c:valAx>
        <c:axId val="1484926240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3146800"/>
        <c:crosses val="autoZero"/>
        <c:crossBetween val="midCat"/>
      </c:valAx>
      <c:valAx>
        <c:axId val="15231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q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492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T50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'Confront_Tempi_T50-n2,5 (2)'!$A$5:$A$33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'Confront_Tempi_T50-n2,5 (2)'!$B$5:$B$33</c:f>
              <c:numCache>
                <c:formatCode>General</c:formatCode>
                <c:ptCount val="29"/>
                <c:pt idx="0">
                  <c:v>2.0210043696370934E-3</c:v>
                </c:pt>
                <c:pt idx="1">
                  <c:v>2.9170004664975588E-3</c:v>
                </c:pt>
                <c:pt idx="2">
                  <c:v>4.24799269503428E-3</c:v>
                </c:pt>
                <c:pt idx="3">
                  <c:v>6.07799782699489E-3</c:v>
                </c:pt>
                <c:pt idx="4">
                  <c:v>8.6980117377100773E-3</c:v>
                </c:pt>
                <c:pt idx="5">
                  <c:v>1.2561020562428315E-2</c:v>
                </c:pt>
                <c:pt idx="6">
                  <c:v>1.7821015241072151E-2</c:v>
                </c:pt>
                <c:pt idx="7">
                  <c:v>2.4612986385380314E-2</c:v>
                </c:pt>
                <c:pt idx="8">
                  <c:v>3.4003961259843341E-2</c:v>
                </c:pt>
                <c:pt idx="9">
                  <c:v>4.7832946246627525E-2</c:v>
                </c:pt>
                <c:pt idx="10">
                  <c:v>6.3205994118915421E-2</c:v>
                </c:pt>
                <c:pt idx="11">
                  <c:v>8.584096911969484E-2</c:v>
                </c:pt>
                <c:pt idx="12">
                  <c:v>0.11148596077731562</c:v>
                </c:pt>
                <c:pt idx="13">
                  <c:v>0.13732098403165646</c:v>
                </c:pt>
                <c:pt idx="14">
                  <c:v>0.16464706296389245</c:v>
                </c:pt>
                <c:pt idx="15">
                  <c:v>0.20697196991346395</c:v>
                </c:pt>
                <c:pt idx="16">
                  <c:v>0.22710101644194736</c:v>
                </c:pt>
                <c:pt idx="17">
                  <c:v>0.24693298463785923</c:v>
                </c:pt>
                <c:pt idx="18">
                  <c:v>0.26142498703928235</c:v>
                </c:pt>
                <c:pt idx="19">
                  <c:v>0.27694700904279157</c:v>
                </c:pt>
                <c:pt idx="20">
                  <c:v>0.29621301416392631</c:v>
                </c:pt>
                <c:pt idx="21">
                  <c:v>0.31428402848563253</c:v>
                </c:pt>
                <c:pt idx="22">
                  <c:v>0.32969301011921143</c:v>
                </c:pt>
                <c:pt idx="23">
                  <c:v>0.33990400299435652</c:v>
                </c:pt>
                <c:pt idx="24">
                  <c:v>0.35034600422627959</c:v>
                </c:pt>
                <c:pt idx="25">
                  <c:v>0.36517399773499926</c:v>
                </c:pt>
                <c:pt idx="26">
                  <c:v>0.36708034840526044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52-4EE9-8CE2-C3BEA8E005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'Confront_Tempi_T50-n2,5 (2)'!$D$5:$D$30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'Confront_Tempi_T50-n2,5 (2)'!$E$5:$E$30</c:f>
              <c:numCache>
                <c:formatCode>General</c:formatCode>
                <c:ptCount val="26"/>
                <c:pt idx="0">
                  <c:v>5.3460005432961659E-3</c:v>
                </c:pt>
                <c:pt idx="1">
                  <c:v>7.3089675421261959E-3</c:v>
                </c:pt>
                <c:pt idx="2">
                  <c:v>1.1425963454025478E-2</c:v>
                </c:pt>
                <c:pt idx="3">
                  <c:v>1.7089995630446015E-2</c:v>
                </c:pt>
                <c:pt idx="4">
                  <c:v>2.5799050010828568E-2</c:v>
                </c:pt>
                <c:pt idx="5">
                  <c:v>3.8275009716070126E-2</c:v>
                </c:pt>
                <c:pt idx="6">
                  <c:v>5.4336035196335578E-2</c:v>
                </c:pt>
                <c:pt idx="7">
                  <c:v>7.6458068858694259E-2</c:v>
                </c:pt>
                <c:pt idx="8">
                  <c:v>0.10020504456037481</c:v>
                </c:pt>
                <c:pt idx="9">
                  <c:v>0.13260303757471215</c:v>
                </c:pt>
                <c:pt idx="10">
                  <c:v>0.16482205017751844</c:v>
                </c:pt>
                <c:pt idx="11">
                  <c:v>0.19770105664346133</c:v>
                </c:pt>
                <c:pt idx="12">
                  <c:v>0.22481102871781575</c:v>
                </c:pt>
                <c:pt idx="13">
                  <c:v>0.25807705136692605</c:v>
                </c:pt>
                <c:pt idx="14">
                  <c:v>0.27827899489363589</c:v>
                </c:pt>
                <c:pt idx="15">
                  <c:v>0.29470700543002748</c:v>
                </c:pt>
                <c:pt idx="16">
                  <c:v>0.30935601403906848</c:v>
                </c:pt>
                <c:pt idx="17">
                  <c:v>0.32177000626529606</c:v>
                </c:pt>
                <c:pt idx="18">
                  <c:v>0.32905499324805165</c:v>
                </c:pt>
                <c:pt idx="19">
                  <c:v>0.34231501913474938</c:v>
                </c:pt>
                <c:pt idx="20">
                  <c:v>0.3638470075574407</c:v>
                </c:pt>
                <c:pt idx="21">
                  <c:v>0.37526798731994593</c:v>
                </c:pt>
                <c:pt idx="22">
                  <c:v>0.38348497914913832</c:v>
                </c:pt>
                <c:pt idx="23">
                  <c:v>0.39536201361336459</c:v>
                </c:pt>
                <c:pt idx="24">
                  <c:v>0.39700000019310933</c:v>
                </c:pt>
                <c:pt idx="25">
                  <c:v>0.40208523597817275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52-4EE9-8CE2-C3BEA8E005F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'Confront_Tempi_T50-n2,5 (2)'!$G$5:$G$22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'Confront_Tempi_T50-n2,5 (2)'!$H$5:$H$22</c:f>
              <c:numCache>
                <c:formatCode>General</c:formatCode>
                <c:ptCount val="18"/>
                <c:pt idx="0">
                  <c:v>0.1985733873920516</c:v>
                </c:pt>
                <c:pt idx="1">
                  <c:v>0.21992700000000007</c:v>
                </c:pt>
                <c:pt idx="2">
                  <c:v>0.24127599273528644</c:v>
                </c:pt>
                <c:pt idx="3">
                  <c:v>0.26737403604303528</c:v>
                </c:pt>
                <c:pt idx="4">
                  <c:v>0.29359097053663646</c:v>
                </c:pt>
                <c:pt idx="5">
                  <c:v>0.32248301450793188</c:v>
                </c:pt>
                <c:pt idx="6">
                  <c:v>0.34812098816608988</c:v>
                </c:pt>
                <c:pt idx="7">
                  <c:v>0.37248903342294459</c:v>
                </c:pt>
                <c:pt idx="8">
                  <c:v>0.39878901709848236</c:v>
                </c:pt>
                <c:pt idx="9">
                  <c:v>0.41908798309750089</c:v>
                </c:pt>
                <c:pt idx="10">
                  <c:v>0.43234800043611304</c:v>
                </c:pt>
                <c:pt idx="11">
                  <c:v>0.44617198266716435</c:v>
                </c:pt>
                <c:pt idx="12">
                  <c:v>0.45605101306603252</c:v>
                </c:pt>
                <c:pt idx="13">
                  <c:v>0.46637600064736801</c:v>
                </c:pt>
                <c:pt idx="14">
                  <c:v>0.47716701590271038</c:v>
                </c:pt>
                <c:pt idx="15">
                  <c:v>0.48852400582937483</c:v>
                </c:pt>
                <c:pt idx="16">
                  <c:v>0.49026999924269071</c:v>
                </c:pt>
                <c:pt idx="17">
                  <c:v>0.49780198554795052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52-4EE9-8CE2-C3BEA8E005F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'Confront_Tempi_T50-n2,5 (2)'!$J$5:$J$25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'Confront_Tempi_T50-n2,5 (2)'!$K$5:$K$25</c:f>
              <c:numCache>
                <c:formatCode>General</c:formatCode>
                <c:ptCount val="21"/>
                <c:pt idx="0">
                  <c:v>0.25951259032032836</c:v>
                </c:pt>
                <c:pt idx="1">
                  <c:v>0.27201497310090633</c:v>
                </c:pt>
                <c:pt idx="2">
                  <c:v>0.28802601051864113</c:v>
                </c:pt>
                <c:pt idx="3">
                  <c:v>0.3046330397125705</c:v>
                </c:pt>
                <c:pt idx="4">
                  <c:v>0.32256400000000007</c:v>
                </c:pt>
                <c:pt idx="5">
                  <c:v>0.34449996835099445</c:v>
                </c:pt>
                <c:pt idx="6">
                  <c:v>0.36474799556220783</c:v>
                </c:pt>
                <c:pt idx="7">
                  <c:v>0.38269302634840208</c:v>
                </c:pt>
                <c:pt idx="8">
                  <c:v>0.41288398742526428</c:v>
                </c:pt>
                <c:pt idx="9">
                  <c:v>0.42601598702588378</c:v>
                </c:pt>
                <c:pt idx="10">
                  <c:v>0.44304000621555478</c:v>
                </c:pt>
                <c:pt idx="11">
                  <c:v>0.45754002189722848</c:v>
                </c:pt>
                <c:pt idx="12">
                  <c:v>0.4759389740336637</c:v>
                </c:pt>
                <c:pt idx="13">
                  <c:v>0.49127600361247037</c:v>
                </c:pt>
                <c:pt idx="14">
                  <c:v>0.50723102143766052</c:v>
                </c:pt>
                <c:pt idx="15">
                  <c:v>0.51867299429002967</c:v>
                </c:pt>
                <c:pt idx="16">
                  <c:v>0.52523499241092253</c:v>
                </c:pt>
                <c:pt idx="17">
                  <c:v>0.53703899261461274</c:v>
                </c:pt>
                <c:pt idx="18">
                  <c:v>0.54440699694016448</c:v>
                </c:pt>
                <c:pt idx="19">
                  <c:v>0.54635200087365943</c:v>
                </c:pt>
                <c:pt idx="20">
                  <c:v>0.55912431344525604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52-4EE9-8CE2-C3BEA8E005F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'Confront_Tempi_T50-n2,5 (2)'!$M$4:$M$7</c:f>
              <c:numCache>
                <c:formatCode>0.00</c:formatCode>
                <c:ptCount val="4"/>
                <c:pt idx="0" formatCode="0.000">
                  <c:v>2.6</c:v>
                </c:pt>
                <c:pt idx="1">
                  <c:v>2.6</c:v>
                </c:pt>
                <c:pt idx="2" formatCode="0.000">
                  <c:v>2.6</c:v>
                </c:pt>
                <c:pt idx="3">
                  <c:v>2.6</c:v>
                </c:pt>
              </c:numCache>
            </c:numRef>
          </c:xVal>
          <c:yVal>
            <c:numRef>
              <c:f>'Confront_Tempi_T50-n2,5 (2)'!$N$4:$N$7</c:f>
              <c:numCache>
                <c:formatCode>0.00</c:formatCode>
                <c:ptCount val="4"/>
                <c:pt idx="0" formatCode="0.000">
                  <c:v>0.19704641230993944</c:v>
                </c:pt>
                <c:pt idx="1">
                  <c:v>0.26359606146176162</c:v>
                </c:pt>
                <c:pt idx="2" formatCode="0.000">
                  <c:v>0.37171557150582218</c:v>
                </c:pt>
                <c:pt idx="3">
                  <c:v>0.42411245232827782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52-4EE9-8CE2-C3BEA8E00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T90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2.8813728770611274E-3</c:v>
                </c:pt>
                <c:pt idx="1">
                  <c:v>4.3700000000000006E-3</c:v>
                </c:pt>
                <c:pt idx="2">
                  <c:v>6.0559969682797291E-3</c:v>
                </c:pt>
                <c:pt idx="3">
                  <c:v>8.0670000000000047E-3</c:v>
                </c:pt>
                <c:pt idx="4">
                  <c:v>1.1096000000000007E-2</c:v>
                </c:pt>
                <c:pt idx="5">
                  <c:v>1.4788992055949102E-2</c:v>
                </c:pt>
                <c:pt idx="6">
                  <c:v>1.9096991660581996E-2</c:v>
                </c:pt>
                <c:pt idx="7">
                  <c:v>2.3516000000000009E-2</c:v>
                </c:pt>
                <c:pt idx="8">
                  <c:v>2.8970011423603018E-2</c:v>
                </c:pt>
                <c:pt idx="9">
                  <c:v>3.485701112168868E-2</c:v>
                </c:pt>
                <c:pt idx="10">
                  <c:v>3.9977992483506947E-2</c:v>
                </c:pt>
                <c:pt idx="11">
                  <c:v>4.5501993799854361E-2</c:v>
                </c:pt>
                <c:pt idx="12">
                  <c:v>4.9779000000000004E-2</c:v>
                </c:pt>
                <c:pt idx="13">
                  <c:v>5.4027005082901911E-2</c:v>
                </c:pt>
                <c:pt idx="14">
                  <c:v>5.8678003998634438E-2</c:v>
                </c:pt>
                <c:pt idx="15">
                  <c:v>6.2207005676137316E-2</c:v>
                </c:pt>
                <c:pt idx="16">
                  <c:v>6.5968003204288778E-2</c:v>
                </c:pt>
                <c:pt idx="17">
                  <c:v>6.8283001065753149E-2</c:v>
                </c:pt>
                <c:pt idx="18">
                  <c:v>7.0099002633569482E-2</c:v>
                </c:pt>
                <c:pt idx="19">
                  <c:v>7.2555000000000008E-2</c:v>
                </c:pt>
                <c:pt idx="20">
                  <c:v>7.455699784951908E-2</c:v>
                </c:pt>
                <c:pt idx="21">
                  <c:v>7.596499833732448E-2</c:v>
                </c:pt>
                <c:pt idx="22">
                  <c:v>7.8084000000000015E-2</c:v>
                </c:pt>
                <c:pt idx="23">
                  <c:v>7.9635999102565025E-2</c:v>
                </c:pt>
                <c:pt idx="24">
                  <c:v>7.9829999929621309E-2</c:v>
                </c:pt>
                <c:pt idx="25">
                  <c:v>8.0009846127441747E-2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DB-4423-804F-738C16F92968}"/>
            </c:ext>
          </c:extLst>
        </c:ser>
        <c:ser>
          <c:idx val="5"/>
          <c:order val="5"/>
          <c:tx>
            <c:v>T50_d05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'Confront_Tempi_T50-n2,5 (2)'!$A$5:$A$31</c:f>
              <c:numCache>
                <c:formatCode>General</c:formatCode>
                <c:ptCount val="27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'Confront_Tempi_T50-n2,5 (2)'!$B$5:$B$31</c:f>
              <c:numCache>
                <c:formatCode>General</c:formatCode>
                <c:ptCount val="27"/>
                <c:pt idx="0">
                  <c:v>2.0210043696370934E-3</c:v>
                </c:pt>
                <c:pt idx="1">
                  <c:v>2.9170004664975588E-3</c:v>
                </c:pt>
                <c:pt idx="2">
                  <c:v>4.24799269503428E-3</c:v>
                </c:pt>
                <c:pt idx="3">
                  <c:v>6.07799782699489E-3</c:v>
                </c:pt>
                <c:pt idx="4">
                  <c:v>8.6980117377100773E-3</c:v>
                </c:pt>
                <c:pt idx="5">
                  <c:v>1.2561020562428315E-2</c:v>
                </c:pt>
                <c:pt idx="6">
                  <c:v>1.7821015241072151E-2</c:v>
                </c:pt>
                <c:pt idx="7">
                  <c:v>2.4612986385380314E-2</c:v>
                </c:pt>
                <c:pt idx="8">
                  <c:v>3.4003961259843341E-2</c:v>
                </c:pt>
                <c:pt idx="9">
                  <c:v>4.7832946246627525E-2</c:v>
                </c:pt>
                <c:pt idx="10">
                  <c:v>6.3205994118915421E-2</c:v>
                </c:pt>
                <c:pt idx="11">
                  <c:v>8.584096911969484E-2</c:v>
                </c:pt>
                <c:pt idx="12">
                  <c:v>0.11148596077731562</c:v>
                </c:pt>
                <c:pt idx="13">
                  <c:v>0.13732098403165646</c:v>
                </c:pt>
                <c:pt idx="14">
                  <c:v>0.16464706296389245</c:v>
                </c:pt>
                <c:pt idx="15">
                  <c:v>0.20697196991346395</c:v>
                </c:pt>
                <c:pt idx="16">
                  <c:v>0.22710101644194736</c:v>
                </c:pt>
                <c:pt idx="17">
                  <c:v>0.24693298463785923</c:v>
                </c:pt>
                <c:pt idx="18">
                  <c:v>0.26142498703928235</c:v>
                </c:pt>
                <c:pt idx="19">
                  <c:v>0.27694700904279157</c:v>
                </c:pt>
                <c:pt idx="20">
                  <c:v>0.29621301416392631</c:v>
                </c:pt>
                <c:pt idx="21">
                  <c:v>0.31428402848563253</c:v>
                </c:pt>
                <c:pt idx="22">
                  <c:v>0.32969301011921143</c:v>
                </c:pt>
                <c:pt idx="23">
                  <c:v>0.33990400299435652</c:v>
                </c:pt>
                <c:pt idx="24">
                  <c:v>0.35034600422627959</c:v>
                </c:pt>
                <c:pt idx="25">
                  <c:v>0.36517399773499926</c:v>
                </c:pt>
                <c:pt idx="26">
                  <c:v>0.36708034840526044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DDB-4423-804F-738C16F92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d=1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'Abaco_Tempi_T90-n2,5'!$D$5:$D$29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0.52</c:v>
                      </c:pt>
                      <c:pt idx="1">
                        <c:v>0.55714286000000002</c:v>
                      </c:pt>
                      <c:pt idx="2">
                        <c:v>0.59464286</c:v>
                      </c:pt>
                      <c:pt idx="3">
                        <c:v>0.63214285999999997</c:v>
                      </c:pt>
                      <c:pt idx="4">
                        <c:v>0.69107143000000004</c:v>
                      </c:pt>
                      <c:pt idx="5">
                        <c:v>0.77142856999999998</c:v>
                      </c:pt>
                      <c:pt idx="6">
                        <c:v>0.87857143000000004</c:v>
                      </c:pt>
                      <c:pt idx="7">
                        <c:v>0.98035713999999996</c:v>
                      </c:pt>
                      <c:pt idx="8">
                        <c:v>1.15714286</c:v>
                      </c:pt>
                      <c:pt idx="9">
                        <c:v>1.3232142899999999</c:v>
                      </c:pt>
                      <c:pt idx="10">
                        <c:v>1.47321429</c:v>
                      </c:pt>
                      <c:pt idx="11">
                        <c:v>1.6982142899999999</c:v>
                      </c:pt>
                      <c:pt idx="12">
                        <c:v>1.9982142899999999</c:v>
                      </c:pt>
                      <c:pt idx="13">
                        <c:v>2.2660714300000002</c:v>
                      </c:pt>
                      <c:pt idx="14">
                        <c:v>2.5499999999999998</c:v>
                      </c:pt>
                      <c:pt idx="15">
                        <c:v>2.94107143</c:v>
                      </c:pt>
                      <c:pt idx="16">
                        <c:v>3.2357142900000002</c:v>
                      </c:pt>
                      <c:pt idx="17">
                        <c:v>3.4821428600000002</c:v>
                      </c:pt>
                      <c:pt idx="18">
                        <c:v>3.7875000000000001</c:v>
                      </c:pt>
                      <c:pt idx="19">
                        <c:v>4.1785714299999999</c:v>
                      </c:pt>
                      <c:pt idx="20">
                        <c:v>4.5803571400000003</c:v>
                      </c:pt>
                      <c:pt idx="21">
                        <c:v>5.0250000000000004</c:v>
                      </c:pt>
                      <c:pt idx="22">
                        <c:v>5.2821428600000004</c:v>
                      </c:pt>
                      <c:pt idx="23">
                        <c:v>5.5392857099999997</c:v>
                      </c:pt>
                      <c:pt idx="24">
                        <c:v>5.7374999999999998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'Abaco_Tempi_T90-n2,5'!$E$5:$E$29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2.8856291784645962E-3</c:v>
                      </c:pt>
                      <c:pt idx="1">
                        <c:v>4.5109949338759409E-3</c:v>
                      </c:pt>
                      <c:pt idx="2">
                        <c:v>5.6809957298928123E-3</c:v>
                      </c:pt>
                      <c:pt idx="3">
                        <c:v>6.9309952828613833E-3</c:v>
                      </c:pt>
                      <c:pt idx="4">
                        <c:v>8.8010140932980301E-3</c:v>
                      </c:pt>
                      <c:pt idx="5">
                        <c:v>1.1722984617118995E-2</c:v>
                      </c:pt>
                      <c:pt idx="6">
                        <c:v>1.5012012836898927E-2</c:v>
                      </c:pt>
                      <c:pt idx="7">
                        <c:v>1.8474005275351077E-2</c:v>
                      </c:pt>
                      <c:pt idx="8">
                        <c:v>2.5426994926294119E-2</c:v>
                      </c:pt>
                      <c:pt idx="9">
                        <c:v>3.0819010028767895E-2</c:v>
                      </c:pt>
                      <c:pt idx="10">
                        <c:v>3.6759011773331136E-2</c:v>
                      </c:pt>
                      <c:pt idx="11">
                        <c:v>4.4938009916525211E-2</c:v>
                      </c:pt>
                      <c:pt idx="12">
                        <c:v>5.5417010349523683E-2</c:v>
                      </c:pt>
                      <c:pt idx="13">
                        <c:v>6.4624013213814072E-2</c:v>
                      </c:pt>
                      <c:pt idx="14">
                        <c:v>7.1867000000000014E-2</c:v>
                      </c:pt>
                      <c:pt idx="15">
                        <c:v>8.0012009032012235E-2</c:v>
                      </c:pt>
                      <c:pt idx="16">
                        <c:v>8.5525003676372099E-2</c:v>
                      </c:pt>
                      <c:pt idx="17">
                        <c:v>8.7815998459837313E-2</c:v>
                      </c:pt>
                      <c:pt idx="18">
                        <c:v>9.2398999999999981E-2</c:v>
                      </c:pt>
                      <c:pt idx="19">
                        <c:v>9.6539004730779351E-2</c:v>
                      </c:pt>
                      <c:pt idx="20">
                        <c:v>0.10168100160468624</c:v>
                      </c:pt>
                      <c:pt idx="21">
                        <c:v>0.10545800000000004</c:v>
                      </c:pt>
                      <c:pt idx="22">
                        <c:v>0.10743799908034013</c:v>
                      </c:pt>
                      <c:pt idx="23">
                        <c:v>0.10858999927368987</c:v>
                      </c:pt>
                      <c:pt idx="24">
                        <c:v>0.10881799999999998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2DDB-4423-804F-738C16F92968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d=1.5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'Abaco_Tempi_T90-n2,5'!$G$5:$G$29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0.52</c:v>
                      </c:pt>
                      <c:pt idx="1">
                        <c:v>0.71785714</c:v>
                      </c:pt>
                      <c:pt idx="2">
                        <c:v>0.9</c:v>
                      </c:pt>
                      <c:pt idx="3">
                        <c:v>1.06607143</c:v>
                      </c:pt>
                      <c:pt idx="4">
                        <c:v>1.2749999999999999</c:v>
                      </c:pt>
                      <c:pt idx="5">
                        <c:v>1.4785714299999999</c:v>
                      </c:pt>
                      <c:pt idx="6">
                        <c:v>1.65</c:v>
                      </c:pt>
                      <c:pt idx="7">
                        <c:v>1.8696428599999999</c:v>
                      </c:pt>
                      <c:pt idx="8">
                        <c:v>2.0571428599999999</c:v>
                      </c:pt>
                      <c:pt idx="9">
                        <c:v>2.28214286</c:v>
                      </c:pt>
                      <c:pt idx="10">
                        <c:v>2.4910714299999999</c:v>
                      </c:pt>
                      <c:pt idx="11">
                        <c:v>2.7267857100000001</c:v>
                      </c:pt>
                      <c:pt idx="12">
                        <c:v>3.0053571400000001</c:v>
                      </c:pt>
                      <c:pt idx="13">
                        <c:v>3.21428571</c:v>
                      </c:pt>
                      <c:pt idx="14">
                        <c:v>3.4767857100000001</c:v>
                      </c:pt>
                      <c:pt idx="15">
                        <c:v>3.72321429</c:v>
                      </c:pt>
                      <c:pt idx="16">
                        <c:v>3.9428571400000001</c:v>
                      </c:pt>
                      <c:pt idx="17">
                        <c:v>4.2053571400000003</c:v>
                      </c:pt>
                      <c:pt idx="18">
                        <c:v>4.4196428599999997</c:v>
                      </c:pt>
                      <c:pt idx="19">
                        <c:v>4.7035714300000002</c:v>
                      </c:pt>
                      <c:pt idx="20">
                        <c:v>4.9124999999999996</c:v>
                      </c:pt>
                      <c:pt idx="21">
                        <c:v>5.2232142899999996</c:v>
                      </c:pt>
                      <c:pt idx="22">
                        <c:v>5.5232142900000003</c:v>
                      </c:pt>
                      <c:pt idx="23">
                        <c:v>5.8446428600000004</c:v>
                      </c:pt>
                      <c:pt idx="24">
                        <c:v>5.9678000000000004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'Abaco_Tempi_T90-n2,5'!$H$5:$H$29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0.10485616056430705</c:v>
                      </c:pt>
                      <c:pt idx="1">
                        <c:v>0.11531800834045777</c:v>
                      </c:pt>
                      <c:pt idx="2">
                        <c:v>0.12608500000000003</c:v>
                      </c:pt>
                      <c:pt idx="3">
                        <c:v>0.13459102232567244</c:v>
                      </c:pt>
                      <c:pt idx="4">
                        <c:v>0.14603500000000003</c:v>
                      </c:pt>
                      <c:pt idx="5">
                        <c:v>0.15594801931723803</c:v>
                      </c:pt>
                      <c:pt idx="6">
                        <c:v>0.16385400000000003</c:v>
                      </c:pt>
                      <c:pt idx="7">
                        <c:v>0.17500699458913785</c:v>
                      </c:pt>
                      <c:pt idx="8">
                        <c:v>0.18101299433418755</c:v>
                      </c:pt>
                      <c:pt idx="9">
                        <c:v>0.19334399248007869</c:v>
                      </c:pt>
                      <c:pt idx="10">
                        <c:v>0.20161901200955315</c:v>
                      </c:pt>
                      <c:pt idx="11">
                        <c:v>0.20699499334973417</c:v>
                      </c:pt>
                      <c:pt idx="12">
                        <c:v>0.2143060036746218</c:v>
                      </c:pt>
                      <c:pt idx="13">
                        <c:v>0.21995799091748011</c:v>
                      </c:pt>
                      <c:pt idx="14">
                        <c:v>0.22768799551489802</c:v>
                      </c:pt>
                      <c:pt idx="15">
                        <c:v>0.22828300035013607</c:v>
                      </c:pt>
                      <c:pt idx="16">
                        <c:v>0.23063800283990082</c:v>
                      </c:pt>
                      <c:pt idx="17">
                        <c:v>0.23685500262192591</c:v>
                      </c:pt>
                      <c:pt idx="18">
                        <c:v>0.23928499892726848</c:v>
                      </c:pt>
                      <c:pt idx="19">
                        <c:v>0.24191900534137889</c:v>
                      </c:pt>
                      <c:pt idx="20">
                        <c:v>0.24438700000000002</c:v>
                      </c:pt>
                      <c:pt idx="21">
                        <c:v>0.24519300197181412</c:v>
                      </c:pt>
                      <c:pt idx="22">
                        <c:v>0.24793300034344848</c:v>
                      </c:pt>
                      <c:pt idx="23">
                        <c:v>0.24681099905900836</c:v>
                      </c:pt>
                      <c:pt idx="24">
                        <c:v>0.24910113102511228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2DDB-4423-804F-738C16F92968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d=2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'Abaco_Tempi_T90-n2,5'!$J$5:$J$27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0.52500000000000002</c:v>
                      </c:pt>
                      <c:pt idx="1">
                        <c:v>0.69107143000000004</c:v>
                      </c:pt>
                      <c:pt idx="2">
                        <c:v>0.87321428999999995</c:v>
                      </c:pt>
                      <c:pt idx="3">
                        <c:v>0.98571428999999999</c:v>
                      </c:pt>
                      <c:pt idx="4">
                        <c:v>1.15714286</c:v>
                      </c:pt>
                      <c:pt idx="5">
                        <c:v>1.28571429</c:v>
                      </c:pt>
                      <c:pt idx="6">
                        <c:v>1.4624999999999999</c:v>
                      </c:pt>
                      <c:pt idx="7">
                        <c:v>1.63928571</c:v>
                      </c:pt>
                      <c:pt idx="8">
                        <c:v>1.81607143</c:v>
                      </c:pt>
                      <c:pt idx="9">
                        <c:v>2.1107142900000002</c:v>
                      </c:pt>
                      <c:pt idx="10">
                        <c:v>2.34642857</c:v>
                      </c:pt>
                      <c:pt idx="11">
                        <c:v>2.53392857</c:v>
                      </c:pt>
                      <c:pt idx="12">
                        <c:v>2.7749999999999999</c:v>
                      </c:pt>
                      <c:pt idx="13">
                        <c:v>2.9464285700000001</c:v>
                      </c:pt>
                      <c:pt idx="14">
                        <c:v>3.1392857099999998</c:v>
                      </c:pt>
                      <c:pt idx="15">
                        <c:v>3.3696428599999999</c:v>
                      </c:pt>
                      <c:pt idx="16">
                        <c:v>3.6696428600000002</c:v>
                      </c:pt>
                      <c:pt idx="17">
                        <c:v>3.91071429</c:v>
                      </c:pt>
                      <c:pt idx="18">
                        <c:v>4.1464285700000003</c:v>
                      </c:pt>
                      <c:pt idx="19">
                        <c:v>4.4464285700000001</c:v>
                      </c:pt>
                      <c:pt idx="20">
                        <c:v>4.9178571399999997</c:v>
                      </c:pt>
                      <c:pt idx="21">
                        <c:v>5.4428571400000001</c:v>
                      </c:pt>
                      <c:pt idx="22">
                        <c:v>5.7374999999999998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'Abaco_Tempi_T90-n2,5'!$K$5:$K$27</c15:sqref>
                        </c15:formulaRef>
                      </c:ext>
                    </c:extLst>
                    <c:numCache>
                      <c:formatCode>General</c:formatCode>
                      <c:ptCount val="23"/>
                      <c:pt idx="0">
                        <c:v>0.18978000000000003</c:v>
                      </c:pt>
                      <c:pt idx="1">
                        <c:v>0.19781402255329458</c:v>
                      </c:pt>
                      <c:pt idx="2">
                        <c:v>0.20622200980142474</c:v>
                      </c:pt>
                      <c:pt idx="3">
                        <c:v>0.20977301123797504</c:v>
                      </c:pt>
                      <c:pt idx="4">
                        <c:v>0.21866499271206266</c:v>
                      </c:pt>
                      <c:pt idx="5">
                        <c:v>0.22424101044697331</c:v>
                      </c:pt>
                      <c:pt idx="6">
                        <c:v>0.23007600000000009</c:v>
                      </c:pt>
                      <c:pt idx="7">
                        <c:v>0.2379459839546772</c:v>
                      </c:pt>
                      <c:pt idx="8">
                        <c:v>0.24804602055525454</c:v>
                      </c:pt>
                      <c:pt idx="9">
                        <c:v>0.25685000860193513</c:v>
                      </c:pt>
                      <c:pt idx="10">
                        <c:v>0.2658009828371613</c:v>
                      </c:pt>
                      <c:pt idx="11">
                        <c:v>0.27274898491960176</c:v>
                      </c:pt>
                      <c:pt idx="12">
                        <c:v>0.28003800000000001</c:v>
                      </c:pt>
                      <c:pt idx="13">
                        <c:v>0.2827829945054437</c:v>
                      </c:pt>
                      <c:pt idx="14">
                        <c:v>0.28561999442106117</c:v>
                      </c:pt>
                      <c:pt idx="15">
                        <c:v>0.29089999696819591</c:v>
                      </c:pt>
                      <c:pt idx="16">
                        <c:v>0.29649699706356741</c:v>
                      </c:pt>
                      <c:pt idx="17">
                        <c:v>0.30201200591134575</c:v>
                      </c:pt>
                      <c:pt idx="18">
                        <c:v>0.30517999725540795</c:v>
                      </c:pt>
                      <c:pt idx="19">
                        <c:v>0.30615099738976392</c:v>
                      </c:pt>
                      <c:pt idx="20">
                        <c:v>0.31260800209636902</c:v>
                      </c:pt>
                      <c:pt idx="21">
                        <c:v>0.31685600002089231</c:v>
                      </c:pt>
                      <c:pt idx="22">
                        <c:v>0.31533200000000006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2DDB-4423-804F-738C16F92968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Prog.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FF0000"/>
                    </a:solidFill>
                    <a:ln w="9525">
                      <a:solidFill>
                        <a:schemeClr val="tx1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'Abaco_Tempi_T90-n2,5'!$M$4:$M$7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 formatCode="0.000">
                        <c:v>2.6</c:v>
                      </c:pt>
                      <c:pt idx="1">
                        <c:v>2.6</c:v>
                      </c:pt>
                      <c:pt idx="2" formatCode="0.000">
                        <c:v>2.6</c:v>
                      </c:pt>
                      <c:pt idx="3">
                        <c:v>2.6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'Abaco_Tempi_T90-n2,5'!$N$4:$N$7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 formatCode="0.000">
                        <c:v>5.405827942772571E-2</c:v>
                      </c:pt>
                      <c:pt idx="1">
                        <c:v>7.2950767196820976E-2</c:v>
                      </c:pt>
                      <c:pt idx="2" formatCode="0.000">
                        <c:v>0.20426350652921615</c:v>
                      </c:pt>
                      <c:pt idx="3">
                        <c:v>0.27502410338734279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2DDB-4423-804F-738C16F92968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T50_d1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'Confront_Tempi_T50-n2,5 (2)'!$D$5:$D$30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0.50082901000000002</c:v>
                      </c:pt>
                      <c:pt idx="1">
                        <c:v>0.52696666000000003</c:v>
                      </c:pt>
                      <c:pt idx="2">
                        <c:v>0.56352767999999998</c:v>
                      </c:pt>
                      <c:pt idx="3">
                        <c:v>0.63294293999999995</c:v>
                      </c:pt>
                      <c:pt idx="4">
                        <c:v>0.71867442999999998</c:v>
                      </c:pt>
                      <c:pt idx="5">
                        <c:v>0.8371651</c:v>
                      </c:pt>
                      <c:pt idx="6">
                        <c:v>0.99395929999999999</c:v>
                      </c:pt>
                      <c:pt idx="7">
                        <c:v>1.1562344899999999</c:v>
                      </c:pt>
                      <c:pt idx="8">
                        <c:v>1.3405603500000001</c:v>
                      </c:pt>
                      <c:pt idx="9">
                        <c:v>1.57389826</c:v>
                      </c:pt>
                      <c:pt idx="10">
                        <c:v>1.7965593399999999</c:v>
                      </c:pt>
                      <c:pt idx="11">
                        <c:v>2.0247964399999998</c:v>
                      </c:pt>
                      <c:pt idx="12">
                        <c:v>2.2641222499999998</c:v>
                      </c:pt>
                      <c:pt idx="13">
                        <c:v>2.5415614999999998</c:v>
                      </c:pt>
                      <c:pt idx="14">
                        <c:v>2.8083239199999999</c:v>
                      </c:pt>
                      <c:pt idx="15">
                        <c:v>3.06425109</c:v>
                      </c:pt>
                      <c:pt idx="16">
                        <c:v>3.3256592500000002</c:v>
                      </c:pt>
                      <c:pt idx="17">
                        <c:v>3.5707511799999998</c:v>
                      </c:pt>
                      <c:pt idx="18">
                        <c:v>3.8758488099999999</c:v>
                      </c:pt>
                      <c:pt idx="19">
                        <c:v>4.1318393499999999</c:v>
                      </c:pt>
                      <c:pt idx="20">
                        <c:v>4.6329851800000004</c:v>
                      </c:pt>
                      <c:pt idx="21">
                        <c:v>4.9108046200000004</c:v>
                      </c:pt>
                      <c:pt idx="22">
                        <c:v>5.1668585199999999</c:v>
                      </c:pt>
                      <c:pt idx="23">
                        <c:v>5.4174314399999997</c:v>
                      </c:pt>
                      <c:pt idx="24">
                        <c:v>5.6953459200000003</c:v>
                      </c:pt>
                      <c:pt idx="25">
                        <c:v>5.9513999999999996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'Confront_Tempi_T50-n2,5 (2)'!$E$5:$E$30</c15:sqref>
                        </c15:formulaRef>
                      </c:ext>
                    </c:extLst>
                    <c:numCache>
                      <c:formatCode>General</c:formatCode>
                      <c:ptCount val="26"/>
                      <c:pt idx="0">
                        <c:v>5.3460005432961659E-3</c:v>
                      </c:pt>
                      <c:pt idx="1">
                        <c:v>7.3089675421261959E-3</c:v>
                      </c:pt>
                      <c:pt idx="2">
                        <c:v>1.1425963454025478E-2</c:v>
                      </c:pt>
                      <c:pt idx="3">
                        <c:v>1.7089995630446015E-2</c:v>
                      </c:pt>
                      <c:pt idx="4">
                        <c:v>2.5799050010828568E-2</c:v>
                      </c:pt>
                      <c:pt idx="5">
                        <c:v>3.8275009716070126E-2</c:v>
                      </c:pt>
                      <c:pt idx="6">
                        <c:v>5.4336035196335578E-2</c:v>
                      </c:pt>
                      <c:pt idx="7">
                        <c:v>7.6458068858694259E-2</c:v>
                      </c:pt>
                      <c:pt idx="8">
                        <c:v>0.10020504456037481</c:v>
                      </c:pt>
                      <c:pt idx="9">
                        <c:v>0.13260303757471215</c:v>
                      </c:pt>
                      <c:pt idx="10">
                        <c:v>0.16482205017751844</c:v>
                      </c:pt>
                      <c:pt idx="11">
                        <c:v>0.19770105664346133</c:v>
                      </c:pt>
                      <c:pt idx="12">
                        <c:v>0.22481102871781575</c:v>
                      </c:pt>
                      <c:pt idx="13">
                        <c:v>0.25807705136692605</c:v>
                      </c:pt>
                      <c:pt idx="14">
                        <c:v>0.27827899489363589</c:v>
                      </c:pt>
                      <c:pt idx="15">
                        <c:v>0.29470700543002748</c:v>
                      </c:pt>
                      <c:pt idx="16">
                        <c:v>0.30935601403906848</c:v>
                      </c:pt>
                      <c:pt idx="17">
                        <c:v>0.32177000626529606</c:v>
                      </c:pt>
                      <c:pt idx="18">
                        <c:v>0.32905499324805165</c:v>
                      </c:pt>
                      <c:pt idx="19">
                        <c:v>0.34231501913474938</c:v>
                      </c:pt>
                      <c:pt idx="20">
                        <c:v>0.3638470075574407</c:v>
                      </c:pt>
                      <c:pt idx="21">
                        <c:v>0.37526798731994593</c:v>
                      </c:pt>
                      <c:pt idx="22">
                        <c:v>0.38348497914913832</c:v>
                      </c:pt>
                      <c:pt idx="23">
                        <c:v>0.39536201361336459</c:v>
                      </c:pt>
                      <c:pt idx="24">
                        <c:v>0.39700000019310933</c:v>
                      </c:pt>
                      <c:pt idx="25">
                        <c:v>0.40208523597817275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2DDB-4423-804F-738C16F9296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T50_d1.5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'Confront_Tempi_T50-n2,5 (2)'!$G$5:$G$22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0.52070000000000005</c:v>
                      </c:pt>
                      <c:pt idx="1">
                        <c:v>0.78736099999999998</c:v>
                      </c:pt>
                      <c:pt idx="2">
                        <c:v>1.0159149199999999</c:v>
                      </c:pt>
                      <c:pt idx="3">
                        <c:v>1.3207274200000001</c:v>
                      </c:pt>
                      <c:pt idx="4">
                        <c:v>1.6092236900000001</c:v>
                      </c:pt>
                      <c:pt idx="5">
                        <c:v>1.91951717</c:v>
                      </c:pt>
                      <c:pt idx="6">
                        <c:v>2.2625698299999999</c:v>
                      </c:pt>
                      <c:pt idx="7">
                        <c:v>2.6111034800000001</c:v>
                      </c:pt>
                      <c:pt idx="8">
                        <c:v>2.9977822600000001</c:v>
                      </c:pt>
                      <c:pt idx="9">
                        <c:v>3.3354806699999999</c:v>
                      </c:pt>
                      <c:pt idx="10">
                        <c:v>3.6296480099999999</c:v>
                      </c:pt>
                      <c:pt idx="11">
                        <c:v>3.9456125700000002</c:v>
                      </c:pt>
                      <c:pt idx="12">
                        <c:v>4.2180143799999996</c:v>
                      </c:pt>
                      <c:pt idx="13">
                        <c:v>4.5231120200000001</c:v>
                      </c:pt>
                      <c:pt idx="14">
                        <c:v>4.8609054699999996</c:v>
                      </c:pt>
                      <c:pt idx="15">
                        <c:v>5.2422933499999997</c:v>
                      </c:pt>
                      <c:pt idx="16">
                        <c:v>5.4820627100000001</c:v>
                      </c:pt>
                      <c:pt idx="17">
                        <c:v>5.9070767000000002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'Confront_Tempi_T50-n2,5 (2)'!$H$5:$H$22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0.1985733873920516</c:v>
                      </c:pt>
                      <c:pt idx="1">
                        <c:v>0.21992700000000007</c:v>
                      </c:pt>
                      <c:pt idx="2">
                        <c:v>0.24127599273528644</c:v>
                      </c:pt>
                      <c:pt idx="3">
                        <c:v>0.26737403604303528</c:v>
                      </c:pt>
                      <c:pt idx="4">
                        <c:v>0.29359097053663646</c:v>
                      </c:pt>
                      <c:pt idx="5">
                        <c:v>0.32248301450793188</c:v>
                      </c:pt>
                      <c:pt idx="6">
                        <c:v>0.34812098816608988</c:v>
                      </c:pt>
                      <c:pt idx="7">
                        <c:v>0.37248903342294459</c:v>
                      </c:pt>
                      <c:pt idx="8">
                        <c:v>0.39878901709848236</c:v>
                      </c:pt>
                      <c:pt idx="9">
                        <c:v>0.41908798309750089</c:v>
                      </c:pt>
                      <c:pt idx="10">
                        <c:v>0.43234800043611304</c:v>
                      </c:pt>
                      <c:pt idx="11">
                        <c:v>0.44617198266716435</c:v>
                      </c:pt>
                      <c:pt idx="12">
                        <c:v>0.45605101306603252</c:v>
                      </c:pt>
                      <c:pt idx="13">
                        <c:v>0.46637600064736801</c:v>
                      </c:pt>
                      <c:pt idx="14">
                        <c:v>0.47716701590271038</c:v>
                      </c:pt>
                      <c:pt idx="15">
                        <c:v>0.48852400582937483</c:v>
                      </c:pt>
                      <c:pt idx="16">
                        <c:v>0.49026999924269071</c:v>
                      </c:pt>
                      <c:pt idx="17">
                        <c:v>0.49780198554795052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2DDB-4423-804F-738C16F9296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T50_d2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'Confront_Tempi_T50-n2,5 (2)'!$J$5:$J$25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0.51429999999999998</c:v>
                      </c:pt>
                      <c:pt idx="1">
                        <c:v>0.67761455999999998</c:v>
                      </c:pt>
                      <c:pt idx="2">
                        <c:v>0.92264312000000004</c:v>
                      </c:pt>
                      <c:pt idx="3">
                        <c:v>1.0913814399999999</c:v>
                      </c:pt>
                      <c:pt idx="4">
                        <c:v>1.3364100000000001</c:v>
                      </c:pt>
                      <c:pt idx="5">
                        <c:v>1.5596096800000001</c:v>
                      </c:pt>
                      <c:pt idx="6">
                        <c:v>1.7991889400000001</c:v>
                      </c:pt>
                      <c:pt idx="7">
                        <c:v>2.02790128</c:v>
                      </c:pt>
                      <c:pt idx="8">
                        <c:v>2.3328088199999999</c:v>
                      </c:pt>
                      <c:pt idx="9">
                        <c:v>2.6378747699999998</c:v>
                      </c:pt>
                      <c:pt idx="10">
                        <c:v>2.8720680999999999</c:v>
                      </c:pt>
                      <c:pt idx="11">
                        <c:v>3.2370763899999999</c:v>
                      </c:pt>
                      <c:pt idx="12">
                        <c:v>3.48761762</c:v>
                      </c:pt>
                      <c:pt idx="13">
                        <c:v>3.8199300900000002</c:v>
                      </c:pt>
                      <c:pt idx="14">
                        <c:v>4.1685904699999998</c:v>
                      </c:pt>
                      <c:pt idx="15">
                        <c:v>4.4682388</c:v>
                      </c:pt>
                      <c:pt idx="16">
                        <c:v>4.7134257699999997</c:v>
                      </c:pt>
                      <c:pt idx="17">
                        <c:v>5.0076248000000003</c:v>
                      </c:pt>
                      <c:pt idx="18">
                        <c:v>5.3236527200000001</c:v>
                      </c:pt>
                      <c:pt idx="19">
                        <c:v>5.5634220799999996</c:v>
                      </c:pt>
                      <c:pt idx="20">
                        <c:v>5.9175000000000004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'Confront_Tempi_T50-n2,5 (2)'!$K$5:$K$25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0.25951259032032836</c:v>
                      </c:pt>
                      <c:pt idx="1">
                        <c:v>0.27201497310090633</c:v>
                      </c:pt>
                      <c:pt idx="2">
                        <c:v>0.28802601051864113</c:v>
                      </c:pt>
                      <c:pt idx="3">
                        <c:v>0.3046330397125705</c:v>
                      </c:pt>
                      <c:pt idx="4">
                        <c:v>0.32256400000000007</c:v>
                      </c:pt>
                      <c:pt idx="5">
                        <c:v>0.34449996835099445</c:v>
                      </c:pt>
                      <c:pt idx="6">
                        <c:v>0.36474799556220783</c:v>
                      </c:pt>
                      <c:pt idx="7">
                        <c:v>0.38269302634840208</c:v>
                      </c:pt>
                      <c:pt idx="8">
                        <c:v>0.41288398742526428</c:v>
                      </c:pt>
                      <c:pt idx="9">
                        <c:v>0.42601598702588378</c:v>
                      </c:pt>
                      <c:pt idx="10">
                        <c:v>0.44304000621555478</c:v>
                      </c:pt>
                      <c:pt idx="11">
                        <c:v>0.45754002189722848</c:v>
                      </c:pt>
                      <c:pt idx="12">
                        <c:v>0.4759389740336637</c:v>
                      </c:pt>
                      <c:pt idx="13">
                        <c:v>0.49127600361247037</c:v>
                      </c:pt>
                      <c:pt idx="14">
                        <c:v>0.50723102143766052</c:v>
                      </c:pt>
                      <c:pt idx="15">
                        <c:v>0.51867299429002967</c:v>
                      </c:pt>
                      <c:pt idx="16">
                        <c:v>0.52523499241092253</c:v>
                      </c:pt>
                      <c:pt idx="17">
                        <c:v>0.53703899261461274</c:v>
                      </c:pt>
                      <c:pt idx="18">
                        <c:v>0.54440699694016448</c:v>
                      </c:pt>
                      <c:pt idx="19">
                        <c:v>0.54635200087365943</c:v>
                      </c:pt>
                      <c:pt idx="20">
                        <c:v>0.55912431344525604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2DDB-4423-804F-738C16F92968}"/>
                  </c:ext>
                </c:extLst>
              </c15:ser>
            </c15:filteredScatterSeries>
          </c:ext>
        </c:extLst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95810</xdr:colOff>
      <xdr:row>7</xdr:row>
      <xdr:rowOff>56030</xdr:rowOff>
    </xdr:from>
    <xdr:to>
      <xdr:col>2</xdr:col>
      <xdr:colOff>2910416</xdr:colOff>
      <xdr:row>24</xdr:row>
      <xdr:rowOff>179294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7AADEE-9F09-2B98-A098-248E72E8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61630</xdr:colOff>
      <xdr:row>6</xdr:row>
      <xdr:rowOff>7284</xdr:rowOff>
    </xdr:from>
    <xdr:to>
      <xdr:col>16</xdr:col>
      <xdr:colOff>462801</xdr:colOff>
      <xdr:row>24</xdr:row>
      <xdr:rowOff>7284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8637474-93F3-BAB8-101E-03F3F3E44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5601</xdr:colOff>
      <xdr:row>6</xdr:row>
      <xdr:rowOff>175372</xdr:rowOff>
    </xdr:from>
    <xdr:to>
      <xdr:col>19</xdr:col>
      <xdr:colOff>283506</xdr:colOff>
      <xdr:row>24</xdr:row>
      <xdr:rowOff>175372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CB9A7EB-929B-484B-956C-B3A47579E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13604</xdr:colOff>
      <xdr:row>7</xdr:row>
      <xdr:rowOff>149681</xdr:rowOff>
    </xdr:from>
    <xdr:to>
      <xdr:col>22</xdr:col>
      <xdr:colOff>266697</xdr:colOff>
      <xdr:row>25</xdr:row>
      <xdr:rowOff>149681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02391B-BE58-45D3-8B28-9324D8F7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571498</xdr:colOff>
      <xdr:row>7</xdr:row>
      <xdr:rowOff>176094</xdr:rowOff>
    </xdr:from>
    <xdr:to>
      <xdr:col>22</xdr:col>
      <xdr:colOff>266698</xdr:colOff>
      <xdr:row>25</xdr:row>
      <xdr:rowOff>179294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CC4F174-B88D-47BB-AEE3-E1F95E4B9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28012</xdr:colOff>
      <xdr:row>6</xdr:row>
      <xdr:rowOff>18490</xdr:rowOff>
    </xdr:from>
    <xdr:to>
      <xdr:col>16</xdr:col>
      <xdr:colOff>429183</xdr:colOff>
      <xdr:row>24</xdr:row>
      <xdr:rowOff>18490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8A8252-D707-4634-8479-1303E3DF8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84406</xdr:colOff>
      <xdr:row>5</xdr:row>
      <xdr:rowOff>126693</xdr:rowOff>
    </xdr:from>
    <xdr:to>
      <xdr:col>16</xdr:col>
      <xdr:colOff>437696</xdr:colOff>
      <xdr:row>23</xdr:row>
      <xdr:rowOff>126693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CA081-7F1C-43FD-95C2-ED11513E7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9C2FA2-9DCA-4A47-AB6A-74A36C8A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556001</xdr:colOff>
      <xdr:row>7</xdr:row>
      <xdr:rowOff>160521</xdr:rowOff>
    </xdr:from>
    <xdr:to>
      <xdr:col>22</xdr:col>
      <xdr:colOff>360058</xdr:colOff>
      <xdr:row>25</xdr:row>
      <xdr:rowOff>160521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1DB88E2-8FDF-44FD-8899-AB1848690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21009</xdr:colOff>
      <xdr:row>6</xdr:row>
      <xdr:rowOff>11486</xdr:rowOff>
    </xdr:from>
    <xdr:to>
      <xdr:col>16</xdr:col>
      <xdr:colOff>343739</xdr:colOff>
      <xdr:row>24</xdr:row>
      <xdr:rowOff>11486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14F4122-CCA5-F6B7-2FEC-7927D59FA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14589F8A-D1BA-4EAC-A4A4-EFDEAE196A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466725</xdr:colOff>
      <xdr:row>27</xdr:row>
      <xdr:rowOff>95250</xdr:rowOff>
    </xdr:from>
    <xdr:to>
      <xdr:col>23</xdr:col>
      <xdr:colOff>290393</xdr:colOff>
      <xdr:row>49</xdr:row>
      <xdr:rowOff>95250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7A07368-BC74-4C29-A3D8-17AD472645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anciscojmendez.com/trincee-drenanti-dimensionamento-massima/" TargetMode="External"/><Relationship Id="rId1" Type="http://schemas.openxmlformats.org/officeDocument/2006/relationships/hyperlink" Target="http://www.franciscojmendez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B2:B44"/>
  <sheetViews>
    <sheetView topLeftCell="A10" workbookViewId="0">
      <selection activeCell="B16" sqref="B16"/>
    </sheetView>
  </sheetViews>
  <sheetFormatPr defaultColWidth="8.7109375" defaultRowHeight="14.25" x14ac:dyDescent="0.2"/>
  <cols>
    <col min="1" max="1" width="2" style="12" customWidth="1"/>
    <col min="2" max="2" width="106.28515625" style="12" bestFit="1" customWidth="1"/>
    <col min="3" max="3" width="8.7109375" style="12" customWidth="1"/>
    <col min="4" max="16384" width="8.7109375" style="12"/>
  </cols>
  <sheetData>
    <row r="2" spans="2:2" x14ac:dyDescent="0.2">
      <c r="B2" s="33" t="s">
        <v>0</v>
      </c>
    </row>
    <row r="3" spans="2:2" x14ac:dyDescent="0.2">
      <c r="B3" s="33"/>
    </row>
    <row r="5" spans="2:2" x14ac:dyDescent="0.2">
      <c r="B5" s="13" t="s">
        <v>97</v>
      </c>
    </row>
    <row r="6" spans="2:2" x14ac:dyDescent="0.2">
      <c r="B6" s="13"/>
    </row>
    <row r="7" spans="2:2" x14ac:dyDescent="0.2">
      <c r="B7" s="16" t="s">
        <v>1</v>
      </c>
    </row>
    <row r="9" spans="2:2" x14ac:dyDescent="0.2">
      <c r="B9" s="17" t="s">
        <v>2</v>
      </c>
    </row>
    <row r="10" spans="2:2" x14ac:dyDescent="0.2">
      <c r="B10" s="16" t="s">
        <v>3</v>
      </c>
    </row>
    <row r="12" spans="2:2" x14ac:dyDescent="0.2">
      <c r="B12" s="18" t="s">
        <v>4</v>
      </c>
    </row>
    <row r="13" spans="2:2" x14ac:dyDescent="0.2">
      <c r="B13" s="13" t="s">
        <v>5</v>
      </c>
    </row>
    <row r="14" spans="2:2" x14ac:dyDescent="0.2">
      <c r="B14" s="13" t="s">
        <v>6</v>
      </c>
    </row>
    <row r="15" spans="2:2" x14ac:dyDescent="0.2">
      <c r="B15" s="13" t="s">
        <v>135</v>
      </c>
    </row>
    <row r="16" spans="2:2" x14ac:dyDescent="0.2">
      <c r="B16" s="13" t="s">
        <v>7</v>
      </c>
    </row>
    <row r="18" spans="2:2" x14ac:dyDescent="0.2">
      <c r="B18" s="18" t="s">
        <v>8</v>
      </c>
    </row>
    <row r="19" spans="2:2" x14ac:dyDescent="0.2">
      <c r="B19" s="13" t="s">
        <v>9</v>
      </c>
    </row>
    <row r="20" spans="2:2" x14ac:dyDescent="0.2">
      <c r="B20" s="13" t="s">
        <v>10</v>
      </c>
    </row>
    <row r="21" spans="2:2" x14ac:dyDescent="0.2">
      <c r="B21" s="13" t="s">
        <v>11</v>
      </c>
    </row>
    <row r="22" spans="2:2" x14ac:dyDescent="0.2">
      <c r="B22" s="13" t="s">
        <v>12</v>
      </c>
    </row>
    <row r="23" spans="2:2" x14ac:dyDescent="0.2">
      <c r="B23" s="13" t="s">
        <v>13</v>
      </c>
    </row>
    <row r="24" spans="2:2" x14ac:dyDescent="0.2">
      <c r="B24" s="13" t="s">
        <v>14</v>
      </c>
    </row>
    <row r="26" spans="2:2" x14ac:dyDescent="0.2">
      <c r="B26" s="18" t="s">
        <v>15</v>
      </c>
    </row>
    <row r="27" spans="2:2" x14ac:dyDescent="0.2">
      <c r="B27" s="13" t="s">
        <v>16</v>
      </c>
    </row>
    <row r="28" spans="2:2" x14ac:dyDescent="0.2">
      <c r="B28" s="13" t="s">
        <v>17</v>
      </c>
    </row>
    <row r="29" spans="2:2" x14ac:dyDescent="0.2">
      <c r="B29" s="13" t="s">
        <v>18</v>
      </c>
    </row>
    <row r="30" spans="2:2" ht="38.25" x14ac:dyDescent="0.2">
      <c r="B30" s="19" t="s">
        <v>131</v>
      </c>
    </row>
    <row r="31" spans="2:2" x14ac:dyDescent="0.2">
      <c r="B31" s="13"/>
    </row>
    <row r="33" spans="2:2" x14ac:dyDescent="0.2">
      <c r="B33" s="18" t="s">
        <v>19</v>
      </c>
    </row>
    <row r="34" spans="2:2" ht="38.25" x14ac:dyDescent="0.2">
      <c r="B34" s="19" t="s">
        <v>134</v>
      </c>
    </row>
    <row r="35" spans="2:2" x14ac:dyDescent="0.2">
      <c r="B35" s="13"/>
    </row>
    <row r="36" spans="2:2" x14ac:dyDescent="0.2">
      <c r="B36" s="13"/>
    </row>
    <row r="38" spans="2:2" x14ac:dyDescent="0.2">
      <c r="B38" s="18" t="s">
        <v>20</v>
      </c>
    </row>
    <row r="39" spans="2:2" ht="25.5" x14ac:dyDescent="0.2">
      <c r="B39" s="19" t="s">
        <v>133</v>
      </c>
    </row>
    <row r="40" spans="2:2" ht="9" customHeight="1" x14ac:dyDescent="0.2">
      <c r="B40" s="19"/>
    </row>
    <row r="41" spans="2:2" x14ac:dyDescent="0.2">
      <c r="B41" s="19" t="s">
        <v>132</v>
      </c>
    </row>
    <row r="42" spans="2:2" ht="17.25" customHeight="1" x14ac:dyDescent="0.2">
      <c r="B42" s="19"/>
    </row>
    <row r="43" spans="2:2" ht="31.5" customHeight="1" x14ac:dyDescent="0.2">
      <c r="B43" s="20" t="s">
        <v>96</v>
      </c>
    </row>
    <row r="44" spans="2:2" x14ac:dyDescent="0.2">
      <c r="B44" s="15"/>
    </row>
  </sheetData>
  <mergeCells count="1">
    <mergeCell ref="B2:B3"/>
  </mergeCells>
  <hyperlinks>
    <hyperlink ref="B10" r:id="rId1" xr:uid="{4ECF8EA4-1CB6-4EE1-9418-337F6B945026}"/>
    <hyperlink ref="B7" r:id="rId2" xr:uid="{7F90B075-40A9-4261-9683-BCCF203235E7}"/>
  </hyperlinks>
  <pageMargins left="0.7" right="0.7" top="0.75" bottom="0.75" header="0.3" footer="0.3"/>
  <pageSetup paperSize="9" scale="82" fitToHeight="0" orientation="portrait" horizontalDpi="300" verticalDpi="3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34"/>
  <sheetViews>
    <sheetView tabSelected="1" topLeftCell="A18" zoomScale="160" zoomScaleNormal="160" workbookViewId="0">
      <selection activeCell="F23" sqref="F23"/>
    </sheetView>
  </sheetViews>
  <sheetFormatPr defaultColWidth="8.7109375" defaultRowHeight="15" x14ac:dyDescent="0.25"/>
  <cols>
    <col min="1" max="1" width="42.5703125" bestFit="1" customWidth="1"/>
    <col min="2" max="2" width="14" customWidth="1"/>
    <col min="3" max="3" width="10" customWidth="1"/>
    <col min="4" max="4" width="35.42578125" bestFit="1" customWidth="1"/>
  </cols>
  <sheetData>
    <row r="1" spans="1:5" ht="18" x14ac:dyDescent="0.25">
      <c r="A1" s="33" t="s">
        <v>21</v>
      </c>
      <c r="B1" s="33"/>
      <c r="C1" s="33"/>
      <c r="D1" s="33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34" t="s">
        <v>22</v>
      </c>
      <c r="B3" s="34"/>
      <c r="C3" s="34"/>
      <c r="D3" s="34"/>
      <c r="E3" s="12"/>
    </row>
    <row r="4" spans="1:5" x14ac:dyDescent="0.25">
      <c r="A4" s="13" t="s">
        <v>23</v>
      </c>
      <c r="B4" s="14">
        <v>5</v>
      </c>
      <c r="C4" s="15" t="s">
        <v>24</v>
      </c>
      <c r="D4" s="15"/>
      <c r="E4" s="12"/>
    </row>
    <row r="5" spans="1:5" x14ac:dyDescent="0.25">
      <c r="A5" s="13" t="s">
        <v>99</v>
      </c>
      <c r="B5" s="14">
        <v>5</v>
      </c>
      <c r="C5" s="15" t="s">
        <v>24</v>
      </c>
      <c r="D5" s="15"/>
      <c r="E5" s="12"/>
    </row>
    <row r="6" spans="1:5" x14ac:dyDescent="0.25">
      <c r="A6" s="13" t="s">
        <v>25</v>
      </c>
      <c r="B6" s="14">
        <v>5</v>
      </c>
      <c r="C6" s="15" t="s">
        <v>24</v>
      </c>
      <c r="D6" s="15"/>
      <c r="E6" s="12"/>
    </row>
    <row r="7" spans="1:5" x14ac:dyDescent="0.25">
      <c r="A7" s="13" t="s">
        <v>26</v>
      </c>
      <c r="B7" s="14">
        <v>14</v>
      </c>
      <c r="C7" s="15" t="s">
        <v>27</v>
      </c>
      <c r="D7" s="15"/>
      <c r="E7" s="12"/>
    </row>
    <row r="8" spans="1:5" x14ac:dyDescent="0.25">
      <c r="A8" s="13" t="s">
        <v>28</v>
      </c>
      <c r="B8" s="14">
        <v>19</v>
      </c>
      <c r="C8" s="15" t="s">
        <v>29</v>
      </c>
      <c r="D8" s="15"/>
      <c r="E8" s="12"/>
    </row>
    <row r="9" spans="1:5" x14ac:dyDescent="0.25">
      <c r="A9" s="13" t="s">
        <v>30</v>
      </c>
      <c r="B9" s="14">
        <v>9.81</v>
      </c>
      <c r="C9" s="15" t="s">
        <v>29</v>
      </c>
      <c r="D9" s="15"/>
      <c r="E9" s="12"/>
    </row>
    <row r="10" spans="1:5" x14ac:dyDescent="0.25">
      <c r="A10" s="13" t="s">
        <v>31</v>
      </c>
      <c r="B10" s="14">
        <v>6E-10</v>
      </c>
      <c r="C10" s="15" t="s">
        <v>32</v>
      </c>
      <c r="D10" s="15"/>
      <c r="E10" s="12"/>
    </row>
    <row r="11" spans="1:5" x14ac:dyDescent="0.25">
      <c r="A11" s="13" t="s">
        <v>33</v>
      </c>
      <c r="B11" s="14">
        <v>6E-10</v>
      </c>
      <c r="C11" s="15" t="s">
        <v>32</v>
      </c>
      <c r="D11" s="15"/>
      <c r="E11" s="12"/>
    </row>
    <row r="12" spans="1:5" x14ac:dyDescent="0.25">
      <c r="A12" s="13" t="s">
        <v>34</v>
      </c>
      <c r="B12" s="14">
        <v>2500</v>
      </c>
      <c r="C12" s="15" t="s">
        <v>35</v>
      </c>
      <c r="D12" s="15"/>
      <c r="E12" s="12"/>
    </row>
    <row r="13" spans="1:5" x14ac:dyDescent="0.25">
      <c r="A13" s="13" t="s">
        <v>36</v>
      </c>
      <c r="B13" s="14">
        <v>0.25</v>
      </c>
      <c r="C13" s="15" t="s">
        <v>37</v>
      </c>
      <c r="D13" s="15"/>
      <c r="E13" s="12"/>
    </row>
    <row r="14" spans="1:5" x14ac:dyDescent="0.25">
      <c r="A14" s="12"/>
      <c r="B14" s="12"/>
      <c r="C14" s="12"/>
      <c r="D14" s="12"/>
      <c r="E14" s="12"/>
    </row>
    <row r="15" spans="1:5" x14ac:dyDescent="0.25">
      <c r="A15" s="34" t="s">
        <v>38</v>
      </c>
      <c r="B15" s="34"/>
      <c r="C15" s="34"/>
      <c r="D15" s="34"/>
      <c r="E15" s="12"/>
    </row>
    <row r="16" spans="1:5" x14ac:dyDescent="0.25">
      <c r="A16" s="13" t="s">
        <v>39</v>
      </c>
      <c r="B16" s="14">
        <v>0</v>
      </c>
      <c r="C16" s="15" t="s">
        <v>35</v>
      </c>
      <c r="D16" s="15"/>
      <c r="E16" s="12"/>
    </row>
    <row r="17" spans="1:5" x14ac:dyDescent="0.25">
      <c r="A17" s="13" t="s">
        <v>40</v>
      </c>
      <c r="B17" s="14">
        <v>28</v>
      </c>
      <c r="C17" s="15" t="s">
        <v>27</v>
      </c>
      <c r="D17" s="15"/>
      <c r="E17" s="12"/>
    </row>
    <row r="18" spans="1:5" x14ac:dyDescent="0.25">
      <c r="A18" s="13" t="s">
        <v>100</v>
      </c>
      <c r="B18" s="14">
        <v>0.5</v>
      </c>
      <c r="C18" s="15" t="s">
        <v>24</v>
      </c>
      <c r="D18" s="15" t="s">
        <v>41</v>
      </c>
      <c r="E18" s="12"/>
    </row>
    <row r="19" spans="1:5" x14ac:dyDescent="0.25">
      <c r="A19" s="13" t="s">
        <v>104</v>
      </c>
      <c r="B19" s="21">
        <v>0</v>
      </c>
      <c r="C19" s="15" t="s">
        <v>24</v>
      </c>
      <c r="D19" s="15" t="s">
        <v>41</v>
      </c>
      <c r="E19" s="12"/>
    </row>
    <row r="20" spans="1:5" x14ac:dyDescent="0.25">
      <c r="A20" s="13" t="s">
        <v>103</v>
      </c>
      <c r="B20" s="21">
        <f>B6</f>
        <v>5</v>
      </c>
      <c r="C20" s="15" t="s">
        <v>24</v>
      </c>
      <c r="D20" s="15" t="s">
        <v>42</v>
      </c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34" t="s">
        <v>43</v>
      </c>
      <c r="B22" s="34"/>
      <c r="C22" s="34"/>
      <c r="D22" s="34"/>
      <c r="E22" s="12"/>
    </row>
    <row r="23" spans="1:5" x14ac:dyDescent="0.25">
      <c r="A23" s="13" t="s">
        <v>44</v>
      </c>
      <c r="B23" s="32">
        <v>1.5</v>
      </c>
      <c r="C23" s="15" t="s">
        <v>37</v>
      </c>
      <c r="D23" s="15"/>
      <c r="E23" s="12"/>
    </row>
    <row r="24" spans="1:5" x14ac:dyDescent="0.25">
      <c r="A24" s="13" t="s">
        <v>128</v>
      </c>
      <c r="B24" s="32">
        <v>1.2</v>
      </c>
      <c r="C24" s="15" t="s">
        <v>37</v>
      </c>
      <c r="D24" s="15"/>
      <c r="E24" s="12"/>
    </row>
    <row r="25" spans="1:5" x14ac:dyDescent="0.25">
      <c r="A25" s="13" t="s">
        <v>45</v>
      </c>
      <c r="B25" s="14">
        <v>6</v>
      </c>
      <c r="C25" s="15" t="s">
        <v>46</v>
      </c>
      <c r="D25" s="15" t="s">
        <v>127</v>
      </c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34" t="s">
        <v>47</v>
      </c>
      <c r="B27" s="34"/>
      <c r="C27" s="34"/>
      <c r="D27" s="34"/>
      <c r="E27" s="12"/>
    </row>
    <row r="28" spans="1:5" x14ac:dyDescent="0.25">
      <c r="A28" s="13" t="s">
        <v>98</v>
      </c>
      <c r="B28" s="21">
        <v>1.5</v>
      </c>
      <c r="C28" s="15" t="s">
        <v>37</v>
      </c>
      <c r="D28" s="15" t="s">
        <v>137</v>
      </c>
      <c r="E28" s="12"/>
    </row>
    <row r="29" spans="1:5" x14ac:dyDescent="0.25">
      <c r="A29" s="13" t="s">
        <v>48</v>
      </c>
      <c r="B29" s="21">
        <v>0.5</v>
      </c>
      <c r="C29" s="15" t="s">
        <v>37</v>
      </c>
      <c r="D29" s="15" t="s">
        <v>49</v>
      </c>
      <c r="E29" s="12"/>
    </row>
    <row r="30" spans="1:5" ht="22.5" x14ac:dyDescent="0.25">
      <c r="A30" s="44" t="s">
        <v>138</v>
      </c>
      <c r="B30" s="21">
        <v>2.5</v>
      </c>
      <c r="C30" s="15" t="s">
        <v>37</v>
      </c>
      <c r="D30" s="43" t="s">
        <v>136</v>
      </c>
      <c r="E30" s="12"/>
    </row>
    <row r="31" spans="1:5" x14ac:dyDescent="0.25">
      <c r="A31" s="12"/>
      <c r="B31" s="12"/>
      <c r="C31" s="12"/>
      <c r="D31" s="12"/>
      <c r="E31" s="12"/>
    </row>
    <row r="32" spans="1:5" x14ac:dyDescent="0.25">
      <c r="A32" s="34" t="s">
        <v>50</v>
      </c>
      <c r="B32" s="34"/>
      <c r="C32" s="34"/>
      <c r="D32" s="34"/>
      <c r="E32" s="12"/>
    </row>
    <row r="33" spans="1:5" x14ac:dyDescent="0.25">
      <c r="A33" s="13" t="s">
        <v>51</v>
      </c>
      <c r="B33" s="14">
        <v>50</v>
      </c>
      <c r="C33" s="15" t="s">
        <v>24</v>
      </c>
      <c r="D33" s="15"/>
      <c r="E33" s="12"/>
    </row>
    <row r="34" spans="1:5" x14ac:dyDescent="0.25">
      <c r="A34" s="12"/>
      <c r="B34" s="12"/>
      <c r="C34" s="12"/>
      <c r="D34" s="12"/>
      <c r="E34" s="12"/>
    </row>
  </sheetData>
  <mergeCells count="6">
    <mergeCell ref="A32:D32"/>
    <mergeCell ref="A1:D1"/>
    <mergeCell ref="A3:D3"/>
    <mergeCell ref="A15:D15"/>
    <mergeCell ref="A22:D22"/>
    <mergeCell ref="A27:D27"/>
  </mergeCells>
  <dataValidations count="3">
    <dataValidation type="list" allowBlank="1" showInputMessage="1" showErrorMessage="1" sqref="B30" xr:uid="{E675F496-002C-4CF1-89A2-EAF7EB09C489}">
      <mc:AlternateContent xmlns:x12ac="http://schemas.microsoft.com/office/spreadsheetml/2011/1/ac" xmlns:mc="http://schemas.openxmlformats.org/markup-compatibility/2006">
        <mc:Choice Requires="x12ac">
          <x12ac:list>1,"2,5"</x12ac:list>
        </mc:Choice>
        <mc:Fallback>
          <formula1>"1,2,5"</formula1>
        </mc:Fallback>
      </mc:AlternateContent>
    </dataValidation>
    <dataValidation type="list" allowBlank="1" showInputMessage="1" showErrorMessage="1" sqref="B29" xr:uid="{9457F850-C5FE-42D6-B76D-446BBDD9F5E6}">
      <mc:AlternateContent xmlns:x12ac="http://schemas.microsoft.com/office/spreadsheetml/2011/1/ac" xmlns:mc="http://schemas.openxmlformats.org/markup-compatibility/2006">
        <mc:Choice Requires="x12ac">
          <x12ac:list>"0,5",1,"1,5",2</x12ac:list>
        </mc:Choice>
        <mc:Fallback>
          <formula1>"0,5,1,1,5,2"</formula1>
        </mc:Fallback>
      </mc:AlternateContent>
    </dataValidation>
    <dataValidation type="list" allowBlank="1" showInputMessage="1" showErrorMessage="1" sqref="B28" xr:uid="{EE3DC362-AE3E-4318-BFA0-6B5DD7520A0F}">
      <mc:AlternateContent xmlns:x12ac="http://schemas.microsoft.com/office/spreadsheetml/2011/1/ac" xmlns:mc="http://schemas.openxmlformats.org/markup-compatibility/2006">
        <mc:Choice Requires="x12ac">
          <x12ac:list>1,"1,5","2,5",4</x12ac:list>
        </mc:Choice>
        <mc:Fallback>
          <formula1>"1,1,5,2,5,4"</formula1>
        </mc:Fallback>
      </mc:AlternateContent>
    </dataValidation>
  </dataValidations>
  <pageMargins left="0.7" right="0.7" top="0.75" bottom="0.75" header="0.3" footer="0.3"/>
  <pageSetup paperSize="9" scale="8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B1:Q71"/>
  <sheetViews>
    <sheetView topLeftCell="A56" zoomScale="145" zoomScaleNormal="145" workbookViewId="0">
      <selection activeCell="D59" sqref="D59:G59"/>
    </sheetView>
  </sheetViews>
  <sheetFormatPr defaultColWidth="8.7109375" defaultRowHeight="15" x14ac:dyDescent="0.25"/>
  <cols>
    <col min="1" max="1" width="3" customWidth="1"/>
    <col min="2" max="2" width="66.42578125" bestFit="1" customWidth="1"/>
    <col min="3" max="3" width="44.42578125" bestFit="1" customWidth="1"/>
    <col min="4" max="4" width="7.140625" customWidth="1"/>
    <col min="5" max="5" width="12.7109375" bestFit="1" customWidth="1"/>
    <col min="6" max="6" width="9.42578125" bestFit="1" customWidth="1"/>
    <col min="7" max="7" width="10" bestFit="1" customWidth="1"/>
    <col min="8" max="8" width="9.7109375" bestFit="1" customWidth="1"/>
    <col min="10" max="13" width="9" customWidth="1"/>
    <col min="16" max="16" width="10" customWidth="1"/>
  </cols>
  <sheetData>
    <row r="1" spans="2:17" ht="18" x14ac:dyDescent="0.25">
      <c r="B1" s="35" t="s">
        <v>52</v>
      </c>
      <c r="C1" s="35"/>
      <c r="D1" s="35"/>
      <c r="E1" s="35"/>
      <c r="F1" s="35"/>
      <c r="G1" s="35"/>
    </row>
    <row r="2" spans="2:17" x14ac:dyDescent="0.25">
      <c r="P2" s="2"/>
    </row>
    <row r="3" spans="2:17" x14ac:dyDescent="0.25">
      <c r="B3" s="36" t="s">
        <v>56</v>
      </c>
      <c r="C3" s="36"/>
      <c r="D3" s="36"/>
      <c r="E3" s="36"/>
      <c r="F3" s="36"/>
      <c r="G3" s="36"/>
      <c r="Q3" s="4"/>
    </row>
    <row r="4" spans="2:17" x14ac:dyDescent="0.25">
      <c r="Q4" s="4"/>
    </row>
    <row r="5" spans="2:17" x14ac:dyDescent="0.25">
      <c r="B5" s="3" t="s">
        <v>57</v>
      </c>
      <c r="D5" s="11" t="s">
        <v>53</v>
      </c>
      <c r="E5" s="11" t="s">
        <v>54</v>
      </c>
      <c r="F5" s="11" t="s">
        <v>107</v>
      </c>
      <c r="G5" s="11" t="s">
        <v>55</v>
      </c>
      <c r="Q5" s="4"/>
    </row>
    <row r="6" spans="2:17" x14ac:dyDescent="0.25">
      <c r="B6" s="3" t="s">
        <v>105</v>
      </c>
      <c r="D6" s="10">
        <f>DATI_INPUT!$B$4*1/20</f>
        <v>0.25</v>
      </c>
      <c r="E6" s="10">
        <f>IFERROR(GetFZ(D6,dw_sat,c_eff,phi_eff,gamma,gammaw,beta),"-&gt; importa ModuloTrincee.bas")</f>
        <v>1.0314904613595932</v>
      </c>
      <c r="F6" s="10">
        <f>IFERROR(GetFZ(D6,dw_init,c_eff,phi_eff,gamma,gammaw,beta),"-&gt; importa ModuloTrincee.bas")</f>
        <v>2.132570050689039</v>
      </c>
      <c r="G6" s="10">
        <f>IFERROR(GetFZ(D6,dw_dry,c_eff,phi_eff,gamma,gammaw,beta),"-&gt; importa ModuloTrincee.bas")</f>
        <v>2.132570050689039</v>
      </c>
    </row>
    <row r="7" spans="2:17" x14ac:dyDescent="0.25">
      <c r="B7" s="3" t="s">
        <v>106</v>
      </c>
      <c r="D7" s="10">
        <f>DATI_INPUT!$B$4*2/20</f>
        <v>0.5</v>
      </c>
      <c r="E7" s="10">
        <f>IFERROR(GetFZ(D7,dw_sat,c_eff,phi_eff,gamma,gammaw,beta),"-&gt; importa ModuloTrincee.bas")</f>
        <v>1.0314904613595932</v>
      </c>
      <c r="F7" s="10">
        <f>IFERROR(GetFZ(D7,dw_init,c_eff,phi_eff,gamma,gammaw,beta),"-&gt; importa ModuloTrincee.bas")</f>
        <v>2.132570050689039</v>
      </c>
      <c r="G7" s="10">
        <f>IFERROR(GetFZ(D7,dw_dry,c_eff,phi_eff,gamma,gammaw,beta),"-&gt; importa ModuloTrincee.bas")</f>
        <v>2.132570050689039</v>
      </c>
    </row>
    <row r="8" spans="2:17" x14ac:dyDescent="0.25">
      <c r="D8" s="10">
        <f>DATI_INPUT!$B$4*3/20</f>
        <v>0.75</v>
      </c>
      <c r="E8" s="10">
        <f>IFERROR(GetFZ(D8,dw_sat,c_eff,phi_eff,gamma,gammaw,beta),"-&gt; importa ModuloTrincee.bas")</f>
        <v>1.0314904613595928</v>
      </c>
      <c r="F8" s="10">
        <f>IFERROR(GetFZ(D8,dw_init,c_eff,phi_eff,gamma,gammaw,beta),"-&gt; importa ModuloTrincee.bas")</f>
        <v>1.765543520912557</v>
      </c>
      <c r="G8" s="10">
        <f>IFERROR(GetFZ(D8,dw_dry,c_eff,phi_eff,gamma,gammaw,beta),"-&gt; importa ModuloTrincee.bas")</f>
        <v>2.1325700506890386</v>
      </c>
    </row>
    <row r="9" spans="2:17" x14ac:dyDescent="0.25">
      <c r="D9" s="10">
        <f>DATI_INPUT!$B$4*4/20</f>
        <v>1</v>
      </c>
      <c r="E9" s="10">
        <f>IFERROR(GetFZ(D9,dw_sat,c_eff,phi_eff,gamma,gammaw,beta),"-&gt; importa ModuloTrincee.bas")</f>
        <v>1.0314904613595932</v>
      </c>
      <c r="F9" s="10">
        <f>IFERROR(GetFZ(D9,dw_init,c_eff,phi_eff,gamma,gammaw,beta),"-&gt; importa ModuloTrincee.bas")</f>
        <v>1.5820302560243162</v>
      </c>
      <c r="G9" s="10">
        <f>IFERROR(GetFZ(D9,dw_dry,c_eff,phi_eff,gamma,gammaw,beta),"-&gt; importa ModuloTrincee.bas")</f>
        <v>2.132570050689039</v>
      </c>
    </row>
    <row r="10" spans="2:17" x14ac:dyDescent="0.25">
      <c r="D10" s="10">
        <f>DATI_INPUT!$B$4*5/20</f>
        <v>1.25</v>
      </c>
      <c r="E10" s="10">
        <f>IFERROR(GetFZ(D10,dw_sat,c_eff,phi_eff,gamma,gammaw,beta),"-&gt; importa ModuloTrincee.bas")</f>
        <v>1.0314904613595928</v>
      </c>
      <c r="F10" s="10">
        <f>IFERROR(GetFZ(D10,dw_init,c_eff,phi_eff,gamma,gammaw,beta),"-&gt; importa ModuloTrincee.bas")</f>
        <v>1.4719222970913712</v>
      </c>
      <c r="G10" s="10">
        <f>IFERROR(GetFZ(D10,dw_dry,c_eff,phi_eff,gamma,gammaw,beta),"-&gt; importa ModuloTrincee.bas")</f>
        <v>2.132570050689039</v>
      </c>
    </row>
    <row r="11" spans="2:17" x14ac:dyDescent="0.25">
      <c r="D11" s="10">
        <f>DATI_INPUT!$B$4*6/20</f>
        <v>1.5</v>
      </c>
      <c r="E11" s="10">
        <f>IFERROR(GetFZ(D11,dw_sat,c_eff,phi_eff,gamma,gammaw,beta),"-&gt; importa ModuloTrincee.bas")</f>
        <v>1.0314904613595928</v>
      </c>
      <c r="F11" s="10">
        <f>IFERROR(GetFZ(D11,dw_init,c_eff,phi_eff,gamma,gammaw,beta),"-&gt; importa ModuloTrincee.bas")</f>
        <v>1.3985169911360749</v>
      </c>
      <c r="G11" s="10">
        <f>IFERROR(GetFZ(D11,dw_dry,c_eff,phi_eff,gamma,gammaw,beta),"-&gt; importa ModuloTrincee.bas")</f>
        <v>2.1325700506890386</v>
      </c>
    </row>
    <row r="12" spans="2:17" x14ac:dyDescent="0.25">
      <c r="D12" s="10">
        <f>DATI_INPUT!$B$4*7/20</f>
        <v>1.75</v>
      </c>
      <c r="E12" s="10">
        <f>IFERROR(GetFZ(D12,dw_sat,c_eff,phi_eff,gamma,gammaw,beta),"-&gt; importa ModuloTrincee.bas")</f>
        <v>1.031490461359593</v>
      </c>
      <c r="F12" s="10">
        <f>IFERROR(GetFZ(D12,dw_init,c_eff,phi_eff,gamma,gammaw,beta),"-&gt; importa ModuloTrincee.bas")</f>
        <v>1.3460846297394347</v>
      </c>
      <c r="G12" s="10">
        <f>IFERROR(GetFZ(D12,dw_dry,c_eff,phi_eff,gamma,gammaw,beta),"-&gt; importa ModuloTrincee.bas")</f>
        <v>2.132570050689039</v>
      </c>
    </row>
    <row r="13" spans="2:17" x14ac:dyDescent="0.25">
      <c r="D13" s="10">
        <f>DATI_INPUT!$B$4*8/20</f>
        <v>2</v>
      </c>
      <c r="E13" s="10">
        <f>IFERROR(GetFZ(D13,dw_sat,c_eff,phi_eff,gamma,gammaw,beta),"-&gt; importa ModuloTrincee.bas")</f>
        <v>1.0314904613595932</v>
      </c>
      <c r="F13" s="10">
        <f>IFERROR(GetFZ(D13,dw_init,c_eff,phi_eff,gamma,gammaw,beta),"-&gt; importa ModuloTrincee.bas")</f>
        <v>1.3067603586919547</v>
      </c>
      <c r="G13" s="10">
        <f>IFERROR(GetFZ(D13,dw_dry,c_eff,phi_eff,gamma,gammaw,beta),"-&gt; importa ModuloTrincee.bas")</f>
        <v>2.132570050689039</v>
      </c>
    </row>
    <row r="14" spans="2:17" x14ac:dyDescent="0.25">
      <c r="D14" s="10">
        <f>DATI_INPUT!$B$4*9/20</f>
        <v>2.25</v>
      </c>
      <c r="E14" s="10">
        <f>IFERROR(GetFZ(D14,dw_sat,c_eff,phi_eff,gamma,gammaw,beta),"-&gt; importa ModuloTrincee.bas")</f>
        <v>1.0314904613595932</v>
      </c>
      <c r="F14" s="10">
        <f>IFERROR(GetFZ(D14,dw_init,c_eff,phi_eff,gamma,gammaw,beta),"-&gt; importa ModuloTrincee.bas")</f>
        <v>1.2761748145439147</v>
      </c>
      <c r="G14" s="10">
        <f>IFERROR(GetFZ(D14,dw_dry,c_eff,phi_eff,gamma,gammaw,beta),"-&gt; importa ModuloTrincee.bas")</f>
        <v>2.1325700506890395</v>
      </c>
    </row>
    <row r="15" spans="2:17" x14ac:dyDescent="0.25">
      <c r="D15" s="10">
        <f>DATI_INPUT!$B$4*10/20</f>
        <v>2.5</v>
      </c>
      <c r="E15" s="10">
        <f>IFERROR(GetFZ(D15,dw_sat,c_eff,phi_eff,gamma,gammaw,beta),"-&gt; importa ModuloTrincee.bas")</f>
        <v>1.0314904613595928</v>
      </c>
      <c r="F15" s="10">
        <f>IFERROR(GetFZ(D15,dw_init,c_eff,phi_eff,gamma,gammaw,beta),"-&gt; importa ModuloTrincee.bas")</f>
        <v>1.2517063792254821</v>
      </c>
      <c r="G15" s="10">
        <f>IFERROR(GetFZ(D15,dw_dry,c_eff,phi_eff,gamma,gammaw,beta),"-&gt; importa ModuloTrincee.bas")</f>
        <v>2.132570050689039</v>
      </c>
    </row>
    <row r="16" spans="2:17" x14ac:dyDescent="0.25">
      <c r="D16" s="10">
        <f>DATI_INPUT!$B$4*11/20</f>
        <v>2.75</v>
      </c>
      <c r="E16" s="10">
        <f>IFERROR(GetFZ(D16,dw_sat,c_eff,phi_eff,gamma,gammaw,beta),"-&gt; importa ModuloTrincee.bas")</f>
        <v>1.031490461359593</v>
      </c>
      <c r="F16" s="10">
        <f>IFERROR(GetFZ(D16,dw_init,c_eff,phi_eff,gamma,gammaw,beta),"-&gt; importa ModuloTrincee.bas")</f>
        <v>1.2316867503285831</v>
      </c>
      <c r="G16" s="10">
        <f>IFERROR(GetFZ(D16,dw_dry,c_eff,phi_eff,gamma,gammaw,beta),"-&gt; importa ModuloTrincee.bas")</f>
        <v>2.132570050689039</v>
      </c>
    </row>
    <row r="17" spans="2:13" x14ac:dyDescent="0.25">
      <c r="D17" s="10">
        <f>DATI_INPUT!$B$4*12/20</f>
        <v>3</v>
      </c>
      <c r="E17" s="10">
        <f>IFERROR(GetFZ(D17,dw_sat,c_eff,phi_eff,gamma,gammaw,beta),"-&gt; importa ModuloTrincee.bas")</f>
        <v>1.0314904613595928</v>
      </c>
      <c r="F17" s="10">
        <f>IFERROR(GetFZ(D17,dw_init,c_eff,phi_eff,gamma,gammaw,beta),"-&gt; importa ModuloTrincee.bas")</f>
        <v>1.2150037262478339</v>
      </c>
      <c r="G17" s="10">
        <f>IFERROR(GetFZ(D17,dw_dry,c_eff,phi_eff,gamma,gammaw,beta),"-&gt; importa ModuloTrincee.bas")</f>
        <v>2.1325700506890386</v>
      </c>
    </row>
    <row r="18" spans="2:13" x14ac:dyDescent="0.25">
      <c r="D18" s="10">
        <f>DATI_INPUT!$B$4*13/20</f>
        <v>3.25</v>
      </c>
      <c r="E18" s="10">
        <f>IFERROR(GetFZ(D18,dw_sat,c_eff,phi_eff,gamma,gammaw,beta),"-&gt; importa ModuloTrincee.bas")</f>
        <v>1.031490461359593</v>
      </c>
      <c r="F18" s="10">
        <f>IFERROR(GetFZ(D18,dw_init,c_eff,phi_eff,gamma,gammaw,beta),"-&gt; importa ModuloTrincee.bas")</f>
        <v>1.2008873212564308</v>
      </c>
      <c r="G18" s="10">
        <f>IFERROR(GetFZ(D18,dw_dry,c_eff,phi_eff,gamma,gammaw,beta),"-&gt; importa ModuloTrincee.bas")</f>
        <v>2.132570050689039</v>
      </c>
    </row>
    <row r="19" spans="2:13" x14ac:dyDescent="0.25">
      <c r="D19" s="10">
        <f>DATI_INPUT!$B$4*14/20</f>
        <v>3.5</v>
      </c>
      <c r="E19" s="10">
        <f>IFERROR(GetFZ(D19,dw_sat,c_eff,phi_eff,gamma,gammaw,beta),"-&gt; importa ModuloTrincee.bas")</f>
        <v>1.031490461359593</v>
      </c>
      <c r="F19" s="10">
        <f>IFERROR(GetFZ(D19,dw_init,c_eff,phi_eff,gamma,gammaw,beta),"-&gt; importa ModuloTrincee.bas")</f>
        <v>1.1887875455495138</v>
      </c>
      <c r="G19" s="10">
        <f>IFERROR(GetFZ(D19,dw_dry,c_eff,phi_eff,gamma,gammaw,beta),"-&gt; importa ModuloTrincee.bas")</f>
        <v>2.132570050689039</v>
      </c>
    </row>
    <row r="20" spans="2:13" x14ac:dyDescent="0.25">
      <c r="D20" s="10">
        <f>DATI_INPUT!$B$4*15/20</f>
        <v>3.75</v>
      </c>
      <c r="E20" s="10">
        <f>IFERROR(GetFZ(D20,dw_sat,c_eff,phi_eff,gamma,gammaw,beta),"-&gt; importa ModuloTrincee.bas")</f>
        <v>1.031490461359593</v>
      </c>
      <c r="F20" s="10">
        <f>IFERROR(GetFZ(D20,dw_init,c_eff,phi_eff,gamma,gammaw,beta),"-&gt; importa ModuloTrincee.bas")</f>
        <v>1.1783010732701857</v>
      </c>
      <c r="G20" s="10">
        <f>IFERROR(GetFZ(D20,dw_dry,c_eff,phi_eff,gamma,gammaw,beta),"-&gt; importa ModuloTrincee.bas")</f>
        <v>2.132570050689039</v>
      </c>
    </row>
    <row r="21" spans="2:13" x14ac:dyDescent="0.25">
      <c r="D21" s="10">
        <f>DATI_INPUT!$B$4*16/20</f>
        <v>4</v>
      </c>
      <c r="E21" s="10">
        <f>IFERROR(GetFZ(D21,dw_sat,c_eff,phi_eff,gamma,gammaw,beta),"-&gt; importa ModuloTrincee.bas")</f>
        <v>1.0314904613595932</v>
      </c>
      <c r="F21" s="10">
        <f>IFERROR(GetFZ(D21,dw_init,c_eff,phi_eff,gamma,gammaw,beta),"-&gt; importa ModuloTrincee.bas")</f>
        <v>1.169125410025774</v>
      </c>
      <c r="G21" s="10">
        <f>IFERROR(GetFZ(D21,dw_dry,c_eff,phi_eff,gamma,gammaw,beta),"-&gt; importa ModuloTrincee.bas")</f>
        <v>2.132570050689039</v>
      </c>
    </row>
    <row r="22" spans="2:13" x14ac:dyDescent="0.25">
      <c r="D22" s="10">
        <f>DATI_INPUT!$B$4*17/20</f>
        <v>4.25</v>
      </c>
      <c r="E22" s="10">
        <f>IFERROR(GetFZ(D22,dw_sat,c_eff,phi_eff,gamma,gammaw,beta),"-&gt; importa ModuloTrincee.bas")</f>
        <v>1.031490461359593</v>
      </c>
      <c r="F22" s="10">
        <f>IFERROR(GetFZ(D22,dw_init,c_eff,phi_eff,gamma,gammaw,beta),"-&gt; importa ModuloTrincee.bas")</f>
        <v>1.161029236574822</v>
      </c>
      <c r="G22" s="10">
        <f>IFERROR(GetFZ(D22,dw_dry,c_eff,phi_eff,gamma,gammaw,beta),"-&gt; importa ModuloTrincee.bas")</f>
        <v>2.132570050689039</v>
      </c>
    </row>
    <row r="23" spans="2:13" x14ac:dyDescent="0.25">
      <c r="D23" s="10">
        <f>DATI_INPUT!$B$4*18/20</f>
        <v>4.5</v>
      </c>
      <c r="E23" s="10">
        <f>IFERROR(GetFZ(D23,dw_sat,c_eff,phi_eff,gamma,gammaw,beta),"-&gt; importa ModuloTrincee.bas")</f>
        <v>1.0314904613595932</v>
      </c>
      <c r="F23" s="10">
        <f>IFERROR(GetFZ(D23,dw_init,c_eff,phi_eff,gamma,gammaw,beta),"-&gt; importa ModuloTrincee.bas")</f>
        <v>1.1538326379517541</v>
      </c>
      <c r="G23" s="10">
        <f>IFERROR(GetFZ(D23,dw_dry,c_eff,phi_eff,gamma,gammaw,beta),"-&gt; importa ModuloTrincee.bas")</f>
        <v>2.1325700506890395</v>
      </c>
    </row>
    <row r="24" spans="2:13" x14ac:dyDescent="0.25">
      <c r="D24" s="10">
        <f>DATI_INPUT!$B$4*19/20</f>
        <v>4.75</v>
      </c>
      <c r="E24" s="10">
        <f>IFERROR(GetFZ(D24,dw_sat,c_eff,phi_eff,gamma,gammaw,beta),"-&gt; importa ModuloTrincee.bas")</f>
        <v>1.031490461359593</v>
      </c>
      <c r="F24" s="10">
        <f>IFERROR(GetFZ(D24,dw_init,c_eff,phi_eff,gamma,gammaw,beta),"-&gt; importa ModuloTrincee.bas")</f>
        <v>1.1473935760258505</v>
      </c>
      <c r="G24" s="10">
        <f>IFERROR(GetFZ(D24,dw_dry,c_eff,phi_eff,gamma,gammaw,beta),"-&gt; importa ModuloTrincee.bas")</f>
        <v>2.132570050689039</v>
      </c>
    </row>
    <row r="25" spans="2:13" x14ac:dyDescent="0.25">
      <c r="D25" s="10">
        <f>DATI_INPUT!$B$4*20/20</f>
        <v>5</v>
      </c>
      <c r="E25" s="10">
        <f>IFERROR(GetFZ(D25,dw_sat,c_eff,phi_eff,gamma,gammaw,beta),"-&gt; importa ModuloTrincee.bas")</f>
        <v>1.0314904613595928</v>
      </c>
      <c r="F25" s="10">
        <f>IFERROR(GetFZ(D25,dw_init,c_eff,phi_eff,gamma,gammaw,beta),"-&gt; importa ModuloTrincee.bas")</f>
        <v>1.1415984202925373</v>
      </c>
      <c r="G25" s="10">
        <f>IFERROR(GetFZ(D25,dw_dry,c_eff,phi_eff,gamma,gammaw,beta),"-&gt; importa ModuloTrincee.bas")</f>
        <v>2.132570050689039</v>
      </c>
      <c r="J25" s="4"/>
      <c r="K25" s="4"/>
      <c r="L25" s="4"/>
      <c r="M25" s="4"/>
    </row>
    <row r="27" spans="2:13" x14ac:dyDescent="0.25">
      <c r="B27" s="36" t="s">
        <v>58</v>
      </c>
      <c r="C27" s="36"/>
      <c r="D27" s="36"/>
      <c r="E27" s="36"/>
      <c r="F27" s="36"/>
      <c r="G27" s="36"/>
    </row>
    <row r="29" spans="2:13" x14ac:dyDescent="0.25">
      <c r="B29" s="1" t="s">
        <v>59</v>
      </c>
      <c r="C29" s="5">
        <f>DATI_INPUT!$B$23</f>
        <v>1.5</v>
      </c>
      <c r="D29" s="37" t="s">
        <v>37</v>
      </c>
      <c r="E29" s="38"/>
      <c r="F29" s="38"/>
      <c r="G29" s="38"/>
    </row>
    <row r="30" spans="2:13" x14ac:dyDescent="0.25">
      <c r="B30" s="1" t="s">
        <v>60</v>
      </c>
      <c r="C30" s="6">
        <f>mesi_target</f>
        <v>6</v>
      </c>
      <c r="D30" s="37" t="s">
        <v>130</v>
      </c>
      <c r="E30" s="38"/>
      <c r="F30" s="38"/>
      <c r="G30" s="38"/>
    </row>
    <row r="31" spans="2:13" x14ac:dyDescent="0.25">
      <c r="B31" s="1" t="s">
        <v>61</v>
      </c>
      <c r="C31" s="6" t="str">
        <f>"F ≥ "&amp;F_short&amp;" raggiunto entro "&amp;DATI_INPUT!$B$25&amp;" mesi (t50)"</f>
        <v>F ≥ 1,2 raggiunto entro 6 mesi (t50)</v>
      </c>
      <c r="D31" s="37" t="s">
        <v>62</v>
      </c>
      <c r="E31" s="38"/>
      <c r="F31" s="38"/>
      <c r="G31" s="38"/>
    </row>
    <row r="33" spans="2:7" x14ac:dyDescent="0.25">
      <c r="B33" s="36" t="s">
        <v>63</v>
      </c>
      <c r="C33" s="36"/>
      <c r="D33" s="36"/>
      <c r="E33" s="36"/>
      <c r="F33" s="36"/>
      <c r="G33" s="36"/>
    </row>
    <row r="35" spans="2:7" x14ac:dyDescent="0.25">
      <c r="B35" s="1" t="s">
        <v>108</v>
      </c>
      <c r="C35" s="7">
        <f>IFERROR(GetFZ(D_piano,dw_init,c_eff,phi_eff,gamma,gammaw,beta),"-&gt; importa ModuloTrincee.bas")</f>
        <v>1.1415984202925373</v>
      </c>
      <c r="D35" s="37" t="s">
        <v>37</v>
      </c>
      <c r="E35" s="38"/>
      <c r="F35" s="38"/>
      <c r="G35" s="38"/>
    </row>
    <row r="36" spans="2:7" x14ac:dyDescent="0.25">
      <c r="B36" s="1" t="s">
        <v>64</v>
      </c>
      <c r="C36" s="7">
        <f>IFERROR(GetFZ(D_piano,dw_dry,c_eff,phi_eff,gamma,gammaw,beta),"-&gt; importa ModuloTrincee.bas")</f>
        <v>2.132570050689039</v>
      </c>
      <c r="D36" s="37" t="s">
        <v>37</v>
      </c>
      <c r="E36" s="38"/>
      <c r="F36" s="38"/>
      <c r="G36" s="38"/>
    </row>
    <row r="37" spans="2:7" x14ac:dyDescent="0.25">
      <c r="B37" s="1" t="s">
        <v>65</v>
      </c>
      <c r="C37" s="8">
        <f>C29-C35</f>
        <v>0.35840157970746267</v>
      </c>
      <c r="D37" s="37" t="s">
        <v>37</v>
      </c>
      <c r="E37" s="38"/>
      <c r="F37" s="38"/>
      <c r="G37" s="38"/>
    </row>
    <row r="38" spans="2:7" x14ac:dyDescent="0.25">
      <c r="B38" s="1" t="s">
        <v>66</v>
      </c>
      <c r="C38" s="8">
        <f>C36-C35</f>
        <v>0.99097163039650171</v>
      </c>
      <c r="D38" s="37" t="s">
        <v>37</v>
      </c>
      <c r="E38" s="38"/>
      <c r="F38" s="38"/>
      <c r="G38" s="38"/>
    </row>
    <row r="39" spans="2:7" x14ac:dyDescent="0.25">
      <c r="B39" s="1" t="s">
        <v>67</v>
      </c>
      <c r="C39" s="7">
        <f>C37/C38</f>
        <v>0.36166684162700113</v>
      </c>
      <c r="D39" s="37" t="s">
        <v>37</v>
      </c>
      <c r="E39" s="38"/>
      <c r="F39" s="38"/>
      <c r="G39" s="38"/>
    </row>
    <row r="41" spans="2:7" x14ac:dyDescent="0.25">
      <c r="B41" s="36" t="s">
        <v>68</v>
      </c>
      <c r="C41" s="36"/>
      <c r="D41" s="36"/>
      <c r="E41" s="36"/>
      <c r="F41" s="36"/>
      <c r="G41" s="36"/>
    </row>
    <row r="43" spans="2:7" x14ac:dyDescent="0.25">
      <c r="B43" s="1" t="s">
        <v>69</v>
      </c>
      <c r="C43" s="6" t="str">
        <f>DATI_INPUT!$B$28&amp;" / "&amp;DATI_INPUT!$B$29</f>
        <v>1,5 / 0,5</v>
      </c>
      <c r="D43" s="37" t="s">
        <v>70</v>
      </c>
      <c r="E43" s="38"/>
      <c r="F43" s="38"/>
      <c r="G43" s="38"/>
    </row>
    <row r="44" spans="2:7" x14ac:dyDescent="0.25">
      <c r="B44" s="38" t="s">
        <v>113</v>
      </c>
      <c r="C44" s="38"/>
    </row>
    <row r="45" spans="2:7" x14ac:dyDescent="0.25">
      <c r="B45" s="1" t="s">
        <v>121</v>
      </c>
      <c r="C45" s="7" cm="1">
        <f t="array" ref="C45">IF(ISNA(getsuh0(n_cfg,d_cfg,C39)),
    "E richiesta fuori dal campo dell'abaco (E ammesso: "&amp;GetAbacoYRange("EFF",n_cfg,d_cfg)&amp;")",
    IFERROR(getsuh0(n_cfg,d_cfg,C39),"-&gt; importa ModuloTrincee.bas"))</f>
        <v>5.3262164742694935</v>
      </c>
      <c r="D45" s="37" t="s">
        <v>37</v>
      </c>
      <c r="E45" s="38"/>
      <c r="F45" s="38"/>
      <c r="G45" s="38"/>
    </row>
    <row r="46" spans="2:7" x14ac:dyDescent="0.25">
      <c r="B46" s="1" t="s">
        <v>122</v>
      </c>
      <c r="C46" s="31">
        <f>IF(ISNUMBER(C45),C45*H0,C45)</f>
        <v>26.631082371347468</v>
      </c>
      <c r="D46" s="37" t="s">
        <v>24</v>
      </c>
      <c r="E46" s="38"/>
      <c r="F46" s="38"/>
      <c r="G46" s="38"/>
    </row>
    <row r="47" spans="2:7" x14ac:dyDescent="0.25">
      <c r="B47" s="22"/>
      <c r="C47" s="22"/>
      <c r="D47" s="22"/>
      <c r="E47" s="22"/>
      <c r="F47" s="22"/>
      <c r="G47" s="22"/>
    </row>
    <row r="48" spans="2:7" x14ac:dyDescent="0.25">
      <c r="B48" s="38" t="s">
        <v>114</v>
      </c>
      <c r="C48" s="38"/>
    </row>
    <row r="49" spans="2:7" x14ac:dyDescent="0.25">
      <c r="B49" s="1" t="s">
        <v>109</v>
      </c>
      <c r="C49" s="9">
        <v>13</v>
      </c>
      <c r="D49" s="37" t="s">
        <v>24</v>
      </c>
      <c r="E49" s="38"/>
      <c r="F49" s="38"/>
      <c r="G49" s="38"/>
    </row>
    <row r="50" spans="2:7" x14ac:dyDescent="0.25">
      <c r="B50" s="1" t="s">
        <v>110</v>
      </c>
      <c r="C50" s="6">
        <f>IFERROR(C49/H0,"")</f>
        <v>2.6</v>
      </c>
      <c r="D50" s="37" t="s">
        <v>37</v>
      </c>
      <c r="E50" s="38"/>
      <c r="F50" s="38"/>
      <c r="G50" s="38"/>
    </row>
    <row r="51" spans="2:7" x14ac:dyDescent="0.25">
      <c r="B51" s="1" t="s">
        <v>111</v>
      </c>
      <c r="C51" s="7" cm="1">
        <f t="array" ref="C51">IF(ISNA(GetEfficienza(n_cfg,d_cfg,C50)),
    "S/H0 di progetto fuori dal campo dell'abaco (S/H0 ammesso: "&amp;GetAbacoXRange("EFF",n_cfg,d_cfg)&amp;")",
    IFERROR(GetEfficienza(n_cfg,d_cfg,C50),"-&gt; importa ModuloTrincee.bas"))</f>
        <v>0.67196032124007499</v>
      </c>
      <c r="D51" s="37" t="s">
        <v>37</v>
      </c>
      <c r="E51" s="38"/>
      <c r="F51" s="38"/>
      <c r="G51" s="38"/>
    </row>
    <row r="52" spans="2:7" x14ac:dyDescent="0.25">
      <c r="B52" s="1" t="s">
        <v>112</v>
      </c>
      <c r="C52" s="7" t="str">
        <f>IF(OR(NOT(ISNUMBER(C51)),NOT(ISNUMBER(C39))),"-&gt; importa ModuloTrincee.bas",IF(C51&gt;=C39,"VERIFICATO: interasse scelto soddisfa F_target","NON VERIFICATO: ridurre interasse o rivedere F_target"))</f>
        <v>VERIFICATO: interasse scelto soddisfa F_target</v>
      </c>
      <c r="D52" s="39"/>
      <c r="E52" s="40"/>
      <c r="F52" s="40"/>
      <c r="G52" s="40"/>
    </row>
    <row r="54" spans="2:7" x14ac:dyDescent="0.25">
      <c r="B54" s="36" t="s">
        <v>71</v>
      </c>
      <c r="C54" s="36"/>
      <c r="D54" s="36"/>
      <c r="E54" s="36"/>
      <c r="F54" s="36"/>
      <c r="G54" s="36"/>
    </row>
    <row r="56" spans="2:7" x14ac:dyDescent="0.25">
      <c r="B56" s="1" t="s">
        <v>115</v>
      </c>
      <c r="C56" s="7" cm="1">
        <f t="array" ref="C56">IF(ISNA(gett("T50",n_tempi,d_cfg,C50)),
    "S/H0 fuori dal campo dell'abaco T50 (ammesso: "&amp;GetAbacoXRange("T50",n_tempi,d_cfg)&amp;")",
    IFERROR(gett("T50",n_tempi,d_cfg,C50),"-&gt; importa ModuloTrincee.bas"))</f>
        <v>0.19704641230993944</v>
      </c>
      <c r="D56" s="37" t="s">
        <v>37</v>
      </c>
      <c r="E56" s="38"/>
      <c r="F56" s="38"/>
      <c r="G56" s="38"/>
    </row>
    <row r="57" spans="2:7" x14ac:dyDescent="0.25">
      <c r="B57" s="1" t="s">
        <v>116</v>
      </c>
      <c r="C57" s="7" cm="1">
        <f t="array" ref="C57">IF(ISNA(gett("T90",n_tempi,d_cfg,C50)),
    "S/H0 fuori dal campo dell'abaco T90 (ammesso: "&amp;GetAbacoXRange("T90",n_tempi,d_cfg)&amp;")",
    IFERROR(gett("T90",n_tempi,d_cfg,C50),"-&gt; importa ModuloTrincee.bas"))</f>
        <v>5.405827942772571E-2</v>
      </c>
      <c r="D57" s="37" t="s">
        <v>37</v>
      </c>
      <c r="E57" s="38"/>
      <c r="F57" s="38"/>
      <c r="G57" s="38"/>
    </row>
    <row r="58" spans="2:7" x14ac:dyDescent="0.25">
      <c r="B58" s="1" t="s">
        <v>72</v>
      </c>
      <c r="C58" s="23">
        <f>IFERROR(C56*(2*(1+nu)*(1-2*nu)*gammaw*D_piano^2)/(Emod*kv)/(30*86400),"")</f>
        <v>15.536790322470628</v>
      </c>
      <c r="D58" s="37" t="s">
        <v>46</v>
      </c>
      <c r="E58" s="38"/>
      <c r="F58" s="38"/>
      <c r="G58" s="38"/>
    </row>
    <row r="59" spans="2:7" x14ac:dyDescent="0.25">
      <c r="B59" s="1" t="s">
        <v>73</v>
      </c>
      <c r="C59" s="23">
        <f>IFERROR(C57*(2*(1+nu)*(1-2*nu)*gammaw*D_piano^2)/(Emod*kv)/(30*86400),"")</f>
        <v>4.2624077384419143</v>
      </c>
      <c r="D59" s="37" t="s">
        <v>46</v>
      </c>
      <c r="E59" s="38"/>
      <c r="F59" s="38"/>
      <c r="G59" s="38"/>
    </row>
    <row r="60" spans="2:7" x14ac:dyDescent="0.25">
      <c r="B60" s="1" t="s">
        <v>117</v>
      </c>
      <c r="C60" s="8">
        <f>IFERROR(C51*C38,"")</f>
        <v>0.66589361510103418</v>
      </c>
      <c r="D60" s="37" t="s">
        <v>37</v>
      </c>
      <c r="E60" s="38"/>
      <c r="F60" s="38"/>
      <c r="G60" s="38"/>
    </row>
    <row r="61" spans="2:7" x14ac:dyDescent="0.25">
      <c r="B61" s="1" t="s">
        <v>118</v>
      </c>
      <c r="C61" s="7">
        <f>IFERROR(C35+C60,"")</f>
        <v>1.8074920353935715</v>
      </c>
      <c r="D61" s="37" t="s">
        <v>37</v>
      </c>
      <c r="E61" s="38"/>
      <c r="F61" s="38"/>
      <c r="G61" s="38"/>
    </row>
    <row r="62" spans="2:7" x14ac:dyDescent="0.25">
      <c r="B62" s="1" t="s">
        <v>119</v>
      </c>
      <c r="C62" s="8">
        <f>IFERROR(C35+0.5*C60,"")</f>
        <v>1.4745452278430544</v>
      </c>
      <c r="D62" s="37" t="s">
        <v>37</v>
      </c>
      <c r="E62" s="38"/>
      <c r="F62" s="38"/>
      <c r="G62" s="38"/>
    </row>
    <row r="63" spans="2:7" x14ac:dyDescent="0.25">
      <c r="B63" s="1" t="s">
        <v>120</v>
      </c>
      <c r="C63" s="8">
        <f>IFERROR(C35+0.9*C60,"")</f>
        <v>1.7409026738834681</v>
      </c>
      <c r="D63" s="37" t="s">
        <v>37</v>
      </c>
      <c r="E63" s="38"/>
      <c r="F63" s="38"/>
      <c r="G63" s="38"/>
    </row>
    <row r="64" spans="2:7" x14ac:dyDescent="0.25">
      <c r="B64" s="1" t="s">
        <v>129</v>
      </c>
      <c r="C64" s="7" t="str">
        <f>IF(AND(C62 &gt;= F_short, C58 &lt;= mesi_target), "VERIFICATO", "NON verificato")</f>
        <v>NON verificato</v>
      </c>
      <c r="D64" s="3"/>
    </row>
    <row r="66" spans="2:7" x14ac:dyDescent="0.25">
      <c r="B66" s="36" t="s">
        <v>74</v>
      </c>
      <c r="C66" s="36"/>
      <c r="D66" s="36"/>
      <c r="E66" s="36"/>
      <c r="F66" s="36"/>
      <c r="G66" s="36"/>
    </row>
    <row r="68" spans="2:7" x14ac:dyDescent="0.25">
      <c r="B68" s="1" t="s">
        <v>75</v>
      </c>
      <c r="C68" s="23">
        <f>IFERROR(C49*SQRT(DATI_INPUT!$B$11/DATI_INPUT!$B$10)/(2*DATI_INPUT!$B$6),"")</f>
        <v>1.3</v>
      </c>
      <c r="D68" s="37" t="s">
        <v>37</v>
      </c>
      <c r="E68" s="38"/>
      <c r="F68" s="38"/>
      <c r="G68" s="38"/>
    </row>
    <row r="69" spans="2:7" x14ac:dyDescent="0.25">
      <c r="B69" s="1" t="s">
        <v>76</v>
      </c>
      <c r="C69" s="23" cm="1">
        <f t="array" ref="C69">IF(ISNA(getqadim(C68)),
    "s fuori dal campo dell'abaco di portata (ammesso: "&amp;GetAbacoXRange("Q",0,0)&amp;")",
    IFERROR(getqadim(C68),"-&gt; importa ModuloTrincee.bas"))</f>
        <v>1.427781338320802</v>
      </c>
      <c r="D69" s="37" t="s">
        <v>37</v>
      </c>
      <c r="E69" s="38"/>
      <c r="F69" s="38"/>
      <c r="G69" s="38"/>
    </row>
    <row r="70" spans="2:7" x14ac:dyDescent="0.25">
      <c r="B70" s="1" t="s">
        <v>77</v>
      </c>
      <c r="C70" s="24">
        <f>IFERROR(C69*DATI_INPUT!$B$11*DATI_INPUT!$B$6*1000*3600,"")</f>
        <v>1.542003845386466E-2</v>
      </c>
      <c r="D70" s="37" t="s">
        <v>78</v>
      </c>
      <c r="E70" s="38"/>
      <c r="F70" s="38"/>
      <c r="G70" s="38"/>
    </row>
    <row r="71" spans="2:7" x14ac:dyDescent="0.25">
      <c r="B71" s="1" t="s">
        <v>79</v>
      </c>
      <c r="C71" s="24">
        <f>IFERROR(C70*DATI_INPUT!$B$33,"")</f>
        <v>0.77100192269323298</v>
      </c>
      <c r="D71" s="37" t="s">
        <v>80</v>
      </c>
      <c r="E71" s="38"/>
      <c r="F71" s="38"/>
      <c r="G71" s="38"/>
    </row>
  </sheetData>
  <mergeCells count="36">
    <mergeCell ref="D51:G51"/>
    <mergeCell ref="D52:G52"/>
    <mergeCell ref="B48:C48"/>
    <mergeCell ref="B44:C44"/>
    <mergeCell ref="D43:G43"/>
    <mergeCell ref="D45:G45"/>
    <mergeCell ref="D46:G46"/>
    <mergeCell ref="D49:G49"/>
    <mergeCell ref="D50:G50"/>
    <mergeCell ref="D69:G69"/>
    <mergeCell ref="D70:G70"/>
    <mergeCell ref="D71:G71"/>
    <mergeCell ref="D61:G61"/>
    <mergeCell ref="B54:G54"/>
    <mergeCell ref="B66:G66"/>
    <mergeCell ref="D60:G60"/>
    <mergeCell ref="D59:G59"/>
    <mergeCell ref="D58:G58"/>
    <mergeCell ref="D57:G57"/>
    <mergeCell ref="D56:G56"/>
    <mergeCell ref="D68:G68"/>
    <mergeCell ref="D62:G62"/>
    <mergeCell ref="D63:G63"/>
    <mergeCell ref="B1:G1"/>
    <mergeCell ref="B3:G3"/>
    <mergeCell ref="B27:G27"/>
    <mergeCell ref="B33:G33"/>
    <mergeCell ref="B41:G41"/>
    <mergeCell ref="D38:G38"/>
    <mergeCell ref="D39:G39"/>
    <mergeCell ref="D29:G29"/>
    <mergeCell ref="D31:G31"/>
    <mergeCell ref="D35:G35"/>
    <mergeCell ref="D36:G36"/>
    <mergeCell ref="D37:G37"/>
    <mergeCell ref="D30:G30"/>
  </mergeCells>
  <pageMargins left="0.7" right="0.7" top="0.75" bottom="0.75" header="0.3" footer="0.3"/>
  <pageSetup paperSize="9" scale="5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40DF-0B09-4772-A52B-8A5A0AACB883}">
  <sheetPr codeName="Foglio5">
    <pageSetUpPr fitToPage="1"/>
  </sheetPr>
  <dimension ref="A1:AO33"/>
  <sheetViews>
    <sheetView workbookViewId="0">
      <selection sqref="A1:F1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1" t="s">
        <v>90</v>
      </c>
      <c r="B1" s="41"/>
      <c r="C1" s="41"/>
      <c r="D1" s="41"/>
      <c r="E1" s="41"/>
      <c r="F1" s="41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123</v>
      </c>
      <c r="B2">
        <v>1</v>
      </c>
      <c r="D2" t="s">
        <v>123</v>
      </c>
      <c r="E2">
        <v>1</v>
      </c>
      <c r="G2" s="42" t="s">
        <v>126</v>
      </c>
      <c r="H2" s="42"/>
    </row>
    <row r="3" spans="1:41" x14ac:dyDescent="0.25">
      <c r="A3" t="s">
        <v>83</v>
      </c>
      <c r="B3">
        <v>0.5</v>
      </c>
      <c r="D3" t="s">
        <v>83</v>
      </c>
      <c r="E3">
        <v>1</v>
      </c>
      <c r="G3" s="26" t="s">
        <v>101</v>
      </c>
      <c r="H3" s="26" t="s">
        <v>102</v>
      </c>
      <c r="I3" s="26" t="s">
        <v>83</v>
      </c>
    </row>
    <row r="4" spans="1:41" x14ac:dyDescent="0.25">
      <c r="A4" s="3" t="s">
        <v>124</v>
      </c>
      <c r="B4" s="3" t="s">
        <v>125</v>
      </c>
      <c r="D4" s="3" t="s">
        <v>91</v>
      </c>
      <c r="E4" s="3" t="s">
        <v>92</v>
      </c>
      <c r="G4" s="27">
        <f>ANALISI!C50</f>
        <v>2.6</v>
      </c>
      <c r="H4" s="27" cm="1">
        <f t="array" ref="H4">GetEfficienza(B$2,I4,G4)</f>
        <v>0.57884248708615071</v>
      </c>
      <c r="I4" s="27">
        <v>0.5</v>
      </c>
    </row>
    <row r="5" spans="1:41" x14ac:dyDescent="0.25">
      <c r="A5" s="29">
        <v>0.53713690553165305</v>
      </c>
      <c r="B5" cm="1">
        <f t="array" ref="B5">GetEfficienza(B$2,B$3,A5)</f>
        <v>0.99767600692015723</v>
      </c>
      <c r="D5" s="29">
        <v>0.94325048843654902</v>
      </c>
      <c r="E5" cm="1">
        <f t="array" ref="E5">GetEfficienza(E$2,E$3,D5)</f>
        <v>0.82562087462588463</v>
      </c>
      <c r="G5" s="28">
        <f>G4</f>
        <v>2.6</v>
      </c>
      <c r="H5" s="28" cm="1">
        <f t="array" ref="H5">GetEfficienza(B$2,I5,G5)</f>
        <v>0.46854604794347604</v>
      </c>
      <c r="I5" s="28">
        <v>1</v>
      </c>
    </row>
    <row r="6" spans="1:41" x14ac:dyDescent="0.25">
      <c r="A6" s="29">
        <v>0.79268271371501897</v>
      </c>
      <c r="B6" cm="1">
        <f t="array" ref="B6">GetEfficienza(B$2,B$3,A6)</f>
        <v>0.97388903282604333</v>
      </c>
      <c r="D6" s="29">
        <v>1.1338927781292301</v>
      </c>
      <c r="E6" cm="1">
        <f t="array" ref="E6">GetEfficienza(E$2,E$3,D6)</f>
        <v>0.77633105777126998</v>
      </c>
      <c r="G6" s="25"/>
      <c r="H6" s="25"/>
    </row>
    <row r="7" spans="1:41" x14ac:dyDescent="0.25">
      <c r="A7" s="29">
        <v>1.0186601984502801</v>
      </c>
      <c r="B7" cm="1">
        <f t="array" ref="B7">GetEfficienza(B$2,B$3,A7)</f>
        <v>0.94300696824279684</v>
      </c>
      <c r="D7" s="29">
        <v>1.38409112356134</v>
      </c>
      <c r="E7" cm="1">
        <f t="array" ref="E7">GetEfficienza(E$2,E$3,D7)</f>
        <v>0.71296197075501255</v>
      </c>
      <c r="G7" s="25"/>
      <c r="H7" s="25"/>
    </row>
    <row r="8" spans="1:41" x14ac:dyDescent="0.25">
      <c r="A8" s="29">
        <v>1.18527036142557</v>
      </c>
      <c r="B8" cm="1">
        <f t="array" ref="B8">GetEfficienza(B$2,B$3,A8)</f>
        <v>0.91348193012106049</v>
      </c>
      <c r="D8" s="29">
        <v>1.54489247405782</v>
      </c>
      <c r="E8" cm="1">
        <f t="array" ref="E8">GetEfficienza(E$2,E$3,D8)</f>
        <v>0.67495088027814931</v>
      </c>
      <c r="G8" s="25"/>
      <c r="H8" s="25"/>
    </row>
    <row r="9" spans="1:41" x14ac:dyDescent="0.25">
      <c r="A9" s="29">
        <v>1.3460088005955599</v>
      </c>
      <c r="B9" cm="1">
        <f t="array" ref="B9">GetEfficienza(B$2,B$3,A9)</f>
        <v>0.87971104567581615</v>
      </c>
      <c r="D9" s="29">
        <v>1.7295791579999999</v>
      </c>
      <c r="E9" cm="1">
        <f t="array" ref="E9">GetEfficienza(E$2,E$3,D9)</f>
        <v>0.62706896283528801</v>
      </c>
      <c r="G9" s="25"/>
      <c r="H9" s="25"/>
    </row>
    <row r="10" spans="1:41" x14ac:dyDescent="0.25">
      <c r="A10" s="29">
        <v>1.4619893260449399</v>
      </c>
      <c r="B10" cm="1">
        <f t="array" ref="B10">GetEfficienza(B$2,B$3,A10)</f>
        <v>0.85151191652828195</v>
      </c>
      <c r="D10" s="29">
        <v>1.9319648954798201</v>
      </c>
      <c r="E10" cm="1">
        <f t="array" ref="E10">GetEfficienza(E$2,E$3,D10)</f>
        <v>0.58627002031622899</v>
      </c>
      <c r="G10" s="25"/>
      <c r="H10" s="25"/>
    </row>
    <row r="11" spans="1:41" x14ac:dyDescent="0.25">
      <c r="A11" s="29">
        <v>1.61095227942881</v>
      </c>
      <c r="B11" cm="1">
        <f t="array" ref="B11">GetEfficienza(B$2,B$3,A11)</f>
        <v>0.81140892158660027</v>
      </c>
      <c r="D11" s="29">
        <v>2.16410769021065</v>
      </c>
      <c r="E11" cm="1">
        <f t="array" ref="E11">GetEfficienza(E$2,E$3,D11)</f>
        <v>0.53984605860070167</v>
      </c>
      <c r="G11" s="25"/>
      <c r="H11" s="25"/>
    </row>
    <row r="12" spans="1:41" x14ac:dyDescent="0.25">
      <c r="A12" s="29">
        <v>1.7226926979755399</v>
      </c>
      <c r="B12" cm="1">
        <f t="array" ref="B12">GetEfficienza(B$2,B$3,A12)</f>
        <v>0.78010508214893026</v>
      </c>
      <c r="D12" s="29">
        <v>2.4496831715696699</v>
      </c>
      <c r="E12" cm="1">
        <f t="array" ref="E12">GetEfficienza(E$2,E$3,D12)</f>
        <v>0.49205797302917026</v>
      </c>
      <c r="G12" s="25"/>
      <c r="H12" s="25"/>
    </row>
    <row r="13" spans="1:41" x14ac:dyDescent="0.25">
      <c r="A13" s="29">
        <v>1.87577692575648</v>
      </c>
      <c r="B13" cm="1">
        <f t="array" ref="B13">GetEfficienza(B$2,B$3,A13)</f>
        <v>0.74000601956527368</v>
      </c>
      <c r="D13" s="29">
        <v>2.7946679155730001</v>
      </c>
      <c r="E13" cm="1">
        <f t="array" ref="E13">GetEfficienza(E$2,E$3,D13)</f>
        <v>0.44008601145526965</v>
      </c>
      <c r="G13" s="25"/>
      <c r="H13" s="25"/>
    </row>
    <row r="14" spans="1:41" x14ac:dyDescent="0.25">
      <c r="A14" s="29">
        <v>2.0495549023651201</v>
      </c>
      <c r="B14" cm="1">
        <f t="array" ref="B14">GetEfficienza(B$2,B$3,A14)</f>
        <v>0.69403702455606031</v>
      </c>
      <c r="D14" s="29">
        <v>3.0503395464093401</v>
      </c>
      <c r="E14" cm="1">
        <f t="array" ref="E14">GetEfficienza(E$2,E$3,D14)</f>
        <v>0.40781805651340991</v>
      </c>
    </row>
    <row r="15" spans="1:41" x14ac:dyDescent="0.25">
      <c r="A15" s="29">
        <v>2.23978885094792</v>
      </c>
      <c r="B15" cm="1">
        <f t="array" ref="B15">GetEfficienza(B$2,B$3,A15)</f>
        <v>0.65004603283873663</v>
      </c>
      <c r="D15" s="29">
        <v>3.3595067752003498</v>
      </c>
      <c r="E15" cm="1">
        <f t="array" ref="E15">GetEfficienza(E$2,E$3,D15)</f>
        <v>0.36994702489743408</v>
      </c>
    </row>
    <row r="16" spans="1:41" x14ac:dyDescent="0.25">
      <c r="A16" s="29">
        <v>2.4010282506806702</v>
      </c>
      <c r="B16" cm="1">
        <f t="array" ref="B16">GetEfficienza(B$2,B$3,A16)</f>
        <v>0.61584395059617014</v>
      </c>
      <c r="D16" s="29">
        <v>3.6507233055008999</v>
      </c>
      <c r="E16" cm="1">
        <f t="array" ref="E16">GetEfficienza(E$2,E$3,D16)</f>
        <v>0.34195297341632114</v>
      </c>
    </row>
    <row r="17" spans="1:5" x14ac:dyDescent="0.25">
      <c r="A17" s="29">
        <v>2.5746023479905098</v>
      </c>
      <c r="B17" cm="1">
        <f t="array" ref="B17">GetEfficienza(B$2,B$3,A17)</f>
        <v>0.58361693513342527</v>
      </c>
      <c r="D17" s="29">
        <v>3.9597227707546199</v>
      </c>
      <c r="E17" cm="1">
        <f t="array" ref="E17">GetEfficienza(E$2,E$3,D17)</f>
        <v>0.31538902010155584</v>
      </c>
    </row>
    <row r="18" spans="1:5" x14ac:dyDescent="0.25">
      <c r="A18" s="29">
        <v>2.7316476592908998</v>
      </c>
      <c r="B18" cm="1">
        <f t="array" ref="B18">GetEfficienza(B$2,B$3,A18)</f>
        <v>0.55431805970115433</v>
      </c>
      <c r="D18" s="29">
        <v>4.2568319949999998</v>
      </c>
      <c r="E18" cm="1">
        <f t="array" ref="E18">GetEfficienza(E$2,E$3,D18)</f>
        <v>0.29022700037192067</v>
      </c>
    </row>
    <row r="19" spans="1:5" x14ac:dyDescent="0.25">
      <c r="A19" s="29">
        <v>2.9381919517772999</v>
      </c>
      <c r="B19" cm="1">
        <f t="array" ref="B19">GetEfficienza(B$2,B$3,A19)</f>
        <v>0.52212200709922252</v>
      </c>
      <c r="D19" s="29">
        <v>4.5657266083455399</v>
      </c>
      <c r="E19" cm="1">
        <f t="array" ref="E19">GetEfficienza(E$2,E$3,D19)</f>
        <v>0.27073102306481556</v>
      </c>
    </row>
    <row r="20" spans="1:5" x14ac:dyDescent="0.25">
      <c r="A20" s="29">
        <v>3.2231860858786199</v>
      </c>
      <c r="B20" cm="1">
        <f t="array" ref="B20">GetEfficienza(B$2,B$3,A20)</f>
        <v>0.48018398761314096</v>
      </c>
      <c r="D20" s="29">
        <v>4.9458787838541598</v>
      </c>
      <c r="E20" cm="1">
        <f t="array" ref="E20">GetEfficienza(E$2,E$3,D20)</f>
        <v>0.24847401175645209</v>
      </c>
    </row>
    <row r="21" spans="1:5" x14ac:dyDescent="0.25">
      <c r="A21" s="29">
        <v>3.4131579039344002</v>
      </c>
      <c r="B21" cm="1">
        <f t="array" ref="B21">GetEfficienza(B$2,B$3,A21)</f>
        <v>0.45386101259042255</v>
      </c>
      <c r="D21" s="29">
        <v>5.3556621941373601</v>
      </c>
      <c r="E21" cm="1">
        <f t="array" ref="E21">GetEfficienza(E$2,E$3,D21)</f>
        <v>0.22907199187550092</v>
      </c>
    </row>
    <row r="22" spans="1:5" x14ac:dyDescent="0.25">
      <c r="A22" s="29">
        <v>3.6484928659720799</v>
      </c>
      <c r="B22" cm="1">
        <f t="array" ref="B22">GetEfficienza(B$2,B$3,A22)</f>
        <v>0.42561801467223936</v>
      </c>
      <c r="D22" s="29">
        <v>5.7475578172565802</v>
      </c>
      <c r="E22" cm="1">
        <f t="array" ref="E22">GetEfficienza(E$2,E$3,D22)</f>
        <v>0.21530700465131153</v>
      </c>
    </row>
    <row r="23" spans="1:5" x14ac:dyDescent="0.25">
      <c r="A23" s="29">
        <v>3.8837695767815301</v>
      </c>
      <c r="B23" cm="1">
        <f t="array" ref="B23">GetEfficienza(B$2,B$3,A23)</f>
        <v>0.40130104280889517</v>
      </c>
      <c r="D23" s="29">
        <v>5.9909407689861096</v>
      </c>
      <c r="E23" cm="1">
        <f t="array" ref="E23">GetEfficienza(E$2,E$3,D23)</f>
        <v>0.21129600147187222</v>
      </c>
    </row>
    <row r="24" spans="1:5" x14ac:dyDescent="0.25">
      <c r="A24" s="29">
        <v>4.1066533387856499</v>
      </c>
      <c r="B24" cm="1">
        <f t="array" ref="B24">GetEfficienza(B$2,B$3,A24)</f>
        <v>0.37893596709988236</v>
      </c>
    </row>
    <row r="25" spans="1:5" x14ac:dyDescent="0.25">
      <c r="A25" s="29">
        <v>4.2758585939784499</v>
      </c>
      <c r="B25" cm="1">
        <f t="array" ref="B25">GetEfficienza(B$2,B$3,A25)</f>
        <v>0.36339003479601178</v>
      </c>
    </row>
    <row r="26" spans="1:5" x14ac:dyDescent="0.25">
      <c r="A26" s="29">
        <v>4.5110624907526198</v>
      </c>
      <c r="B26" cm="1">
        <f t="array" ref="B26">GetEfficienza(B$2,B$3,A26)</f>
        <v>0.34398095776901427</v>
      </c>
    </row>
    <row r="27" spans="1:5" x14ac:dyDescent="0.25">
      <c r="A27" s="29">
        <v>4.7421451130000003</v>
      </c>
      <c r="B27" cm="1">
        <f t="array" ref="B27">GetEfficienza(B$2,B$3,A27)</f>
        <v>0.32456799210666054</v>
      </c>
    </row>
    <row r="28" spans="1:5" x14ac:dyDescent="0.25">
      <c r="A28" s="29">
        <v>4.96076197266619</v>
      </c>
      <c r="B28" cm="1">
        <f t="array" ref="B28">GetEfficienza(B$2,B$3,A28)</f>
        <v>0.31201400156949066</v>
      </c>
    </row>
    <row r="29" spans="1:5" x14ac:dyDescent="0.25">
      <c r="A29" s="29">
        <v>5.1917717810079997</v>
      </c>
      <c r="B29" cm="1">
        <f t="array" ref="B29">GetEfficienza(B$2,B$3,A29)</f>
        <v>0.29750801323177978</v>
      </c>
    </row>
    <row r="30" spans="1:5" x14ac:dyDescent="0.25">
      <c r="A30" s="29">
        <v>5.4268737381327696</v>
      </c>
      <c r="B30" cm="1">
        <f t="array" ref="B30">GetEfficienza(B$2,B$3,A30)</f>
        <v>0.2849700129483701</v>
      </c>
    </row>
    <row r="31" spans="1:5" x14ac:dyDescent="0.25">
      <c r="A31" s="29">
        <v>5.6949458899999996</v>
      </c>
      <c r="B31" cm="1">
        <f t="array" ref="B31">GetEfficienza(B$2,B$3,A31)</f>
        <v>0.272462004604131</v>
      </c>
    </row>
    <row r="32" spans="1:5" x14ac:dyDescent="0.25">
      <c r="A32" s="29">
        <v>5.8970048383470202</v>
      </c>
      <c r="B32" cm="1">
        <f t="array" ref="B32">GetEfficienza(B$2,B$3,A32)</f>
        <v>0.26480000568818124</v>
      </c>
    </row>
    <row r="33" spans="1:2" x14ac:dyDescent="0.25">
      <c r="A33" s="29">
        <v>5.9794740147096004</v>
      </c>
      <c r="B33" cm="1">
        <f t="array" ref="B33">GetEfficienza(B$2,B$3,A33)</f>
        <v>0.26193299949189908</v>
      </c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BD683-64E6-483B-8315-1A200F9B0281}">
  <sheetPr codeName="Foglio9">
    <pageSetUpPr fitToPage="1"/>
  </sheetPr>
  <dimension ref="A1:AR27"/>
  <sheetViews>
    <sheetView workbookViewId="0">
      <selection activeCell="G5" sqref="G5"/>
    </sheetView>
  </sheetViews>
  <sheetFormatPr defaultColWidth="8.7109375" defaultRowHeight="15" x14ac:dyDescent="0.25"/>
  <cols>
    <col min="1" max="2" width="12" bestFit="1" customWidth="1"/>
    <col min="10" max="10" width="24.85546875" bestFit="1" customWidth="1"/>
    <col min="11" max="11" width="10.7109375" bestFit="1" customWidth="1"/>
  </cols>
  <sheetData>
    <row r="1" spans="1:44" ht="24.75" customHeight="1" x14ac:dyDescent="0.25">
      <c r="A1" s="41" t="s">
        <v>90</v>
      </c>
      <c r="B1" s="41"/>
      <c r="C1" s="41"/>
      <c r="D1" s="41"/>
      <c r="E1" s="41"/>
      <c r="F1" s="41"/>
      <c r="G1" s="41"/>
      <c r="H1" s="41"/>
      <c r="I1" s="41"/>
      <c r="L1" s="3"/>
      <c r="M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</row>
    <row r="2" spans="1:44" x14ac:dyDescent="0.25">
      <c r="A2" t="s">
        <v>123</v>
      </c>
      <c r="B2">
        <v>1.5</v>
      </c>
      <c r="D2" t="s">
        <v>123</v>
      </c>
      <c r="E2">
        <v>1.5</v>
      </c>
      <c r="G2" t="s">
        <v>123</v>
      </c>
      <c r="H2">
        <v>1.5</v>
      </c>
      <c r="J2" s="42" t="s">
        <v>126</v>
      </c>
      <c r="K2" s="42"/>
    </row>
    <row r="3" spans="1:44" x14ac:dyDescent="0.25">
      <c r="A3" t="s">
        <v>83</v>
      </c>
      <c r="B3">
        <v>0.5</v>
      </c>
      <c r="D3" t="s">
        <v>83</v>
      </c>
      <c r="E3">
        <v>1</v>
      </c>
      <c r="G3" t="s">
        <v>83</v>
      </c>
      <c r="H3">
        <v>1.5</v>
      </c>
      <c r="J3" s="26" t="s">
        <v>101</v>
      </c>
      <c r="K3" s="26" t="s">
        <v>102</v>
      </c>
      <c r="L3" s="26" t="s">
        <v>83</v>
      </c>
    </row>
    <row r="4" spans="1:44" x14ac:dyDescent="0.25">
      <c r="A4" s="3" t="s">
        <v>124</v>
      </c>
      <c r="B4" s="3" t="s">
        <v>125</v>
      </c>
      <c r="D4" s="3" t="s">
        <v>91</v>
      </c>
      <c r="E4" s="3" t="s">
        <v>92</v>
      </c>
      <c r="F4" s="3"/>
      <c r="G4" s="3" t="s">
        <v>91</v>
      </c>
      <c r="H4" s="3" t="s">
        <v>92</v>
      </c>
      <c r="J4" s="27">
        <f>ANALISI!C50</f>
        <v>2.6</v>
      </c>
      <c r="K4" s="27" cm="1">
        <f t="array" ref="K4">GetEfficienza(B$2,L4,J4)</f>
        <v>0.67196032124007499</v>
      </c>
      <c r="L4" s="27">
        <v>0.5</v>
      </c>
    </row>
    <row r="5" spans="1:44" x14ac:dyDescent="0.25">
      <c r="A5" s="29">
        <v>0.505</v>
      </c>
      <c r="B5" cm="1">
        <f t="array" ref="B5">GetEfficienza(B$2,B$3,A5)</f>
        <v>0.99975862087987266</v>
      </c>
      <c r="D5" s="29">
        <v>0.51</v>
      </c>
      <c r="E5" cm="1">
        <f t="array" ref="E5">GetEfficienza(E$2,E$3,D5)</f>
        <v>0.96185647165894184</v>
      </c>
      <c r="G5" s="29">
        <v>0.51</v>
      </c>
      <c r="H5" cm="1">
        <f t="array" ref="H5">GetEfficienza(H$2,H$3,G5)</f>
        <v>0.64458720086942012</v>
      </c>
      <c r="J5" s="28">
        <f>J4</f>
        <v>2.6</v>
      </c>
      <c r="K5" s="28" cm="1">
        <f t="array" ref="K5">GetEfficienza(B$2,L5,J5)</f>
        <v>0.58482176114272932</v>
      </c>
      <c r="L5" s="28">
        <v>1</v>
      </c>
    </row>
    <row r="6" spans="1:44" x14ac:dyDescent="0.25">
      <c r="A6" s="29">
        <v>0.73714439300000001</v>
      </c>
      <c r="B6" cm="1">
        <f t="array" ref="B6">GetEfficienza(B$2,B$3,A6)</f>
        <v>0.98529497397612187</v>
      </c>
      <c r="D6" s="29">
        <v>0.62468641999999996</v>
      </c>
      <c r="E6" cm="1">
        <f t="array" ref="E6">GetEfficienza(E$2,E$3,D6)</f>
        <v>0.94054792838570966</v>
      </c>
      <c r="G6" s="29">
        <v>0.674999935</v>
      </c>
      <c r="H6" cm="1">
        <f t="array" ref="H6">GetEfficienza(H$2,H$3,G6)</f>
        <v>0.62249100823267378</v>
      </c>
      <c r="J6" s="27">
        <f>J5</f>
        <v>2.6</v>
      </c>
      <c r="K6" s="27" cm="1">
        <f t="array" ref="K6">GetEfficienza(B$2,L6,J6)</f>
        <v>0.38998342091353705</v>
      </c>
      <c r="L6" s="27">
        <v>1.5</v>
      </c>
    </row>
    <row r="7" spans="1:44" x14ac:dyDescent="0.25">
      <c r="A7" s="29">
        <v>0.97996743100000006</v>
      </c>
      <c r="B7" cm="1">
        <f t="array" ref="B7">GetEfficienza(B$2,B$3,A7)</f>
        <v>0.96518495439603003</v>
      </c>
      <c r="D7" s="29">
        <v>0.79531465899999998</v>
      </c>
      <c r="E7" cm="1">
        <f t="array" ref="E7">GetEfficienza(E$2,E$3,D7)</f>
        <v>0.91220305889361364</v>
      </c>
      <c r="G7" s="29">
        <v>0.978936527</v>
      </c>
      <c r="H7" cm="1">
        <f t="array" ref="H7">GetEfficienza(H$2,H$3,G7)</f>
        <v>0.58561605732953581</v>
      </c>
      <c r="J7" s="25"/>
      <c r="K7" s="25"/>
    </row>
    <row r="8" spans="1:44" x14ac:dyDescent="0.25">
      <c r="A8" s="29">
        <v>1.2083930949999999</v>
      </c>
      <c r="B8" cm="1">
        <f t="array" ref="B8">GetEfficienza(B$2,B$3,A8)</f>
        <v>0.93543298560926225</v>
      </c>
      <c r="D8" s="29">
        <v>0.99488463000000005</v>
      </c>
      <c r="E8" cm="1">
        <f t="array" ref="E8">GetEfficienza(E$2,E$3,D8)</f>
        <v>0.8748830721663502</v>
      </c>
      <c r="G8" s="29">
        <v>1.2703904239999999</v>
      </c>
      <c r="H8" cm="1">
        <f t="array" ref="H8">GetEfficienza(H$2,H$3,G8)</f>
        <v>0.54874694394224877</v>
      </c>
      <c r="J8" s="25"/>
      <c r="K8" s="25"/>
    </row>
    <row r="9" spans="1:44" x14ac:dyDescent="0.25">
      <c r="A9" s="29">
        <v>1.407941557</v>
      </c>
      <c r="B9" cm="1">
        <f t="array" ref="B9">GetEfficienza(B$2,B$3,A9)</f>
        <v>0.90224907981634594</v>
      </c>
      <c r="D9" s="29">
        <v>1.289916074</v>
      </c>
      <c r="E9" cm="1">
        <f t="array" ref="E9">GetEfficienza(E$2,E$3,D9)</f>
        <v>0.81683698538496374</v>
      </c>
      <c r="G9" s="29">
        <v>1.5160537890000001</v>
      </c>
      <c r="H9" cm="1">
        <f t="array" ref="H9">GetEfficienza(H$2,H$3,G9)</f>
        <v>0.51587002783110703</v>
      </c>
      <c r="J9" s="25"/>
      <c r="K9" s="25"/>
    </row>
    <row r="10" spans="1:44" x14ac:dyDescent="0.25">
      <c r="A10" s="29">
        <v>1.5988394050000001</v>
      </c>
      <c r="B10" cm="1">
        <f t="array" ref="B10">GetEfficienza(B$2,B$3,A10)</f>
        <v>0.86562191783408826</v>
      </c>
      <c r="D10" s="29">
        <v>1.602298934</v>
      </c>
      <c r="E10" cm="1">
        <f t="array" ref="E10">GetEfficienza(E$2,E$3,D10)</f>
        <v>0.75602601248757073</v>
      </c>
      <c r="G10" s="29">
        <v>1.803346787</v>
      </c>
      <c r="H10" cm="1">
        <f t="array" ref="H10">GetEfficienza(H$2,H$3,G10)</f>
        <v>0.47900302717362297</v>
      </c>
      <c r="J10" s="25"/>
      <c r="K10" s="25"/>
    </row>
    <row r="11" spans="1:44" x14ac:dyDescent="0.25">
      <c r="A11" s="29">
        <v>1.786858496</v>
      </c>
      <c r="B11" cm="1">
        <f t="array" ref="B11">GetEfficienza(B$2,B$3,A11)</f>
        <v>0.82692990008827449</v>
      </c>
      <c r="D11" s="29">
        <v>1.9840767050000001</v>
      </c>
      <c r="E11" cm="1">
        <f t="array" ref="E11">GetEfficienza(E$2,E$3,D11)</f>
        <v>0.68622005310367951</v>
      </c>
      <c r="G11" s="29">
        <v>2.0781416030000002</v>
      </c>
      <c r="H11" cm="1">
        <f t="array" ref="H11">GetEfficienza(H$2,H$3,G11)</f>
        <v>0.44512004477023287</v>
      </c>
      <c r="J11" s="25"/>
      <c r="K11" s="25"/>
    </row>
    <row r="12" spans="1:44" x14ac:dyDescent="0.25">
      <c r="A12" s="29">
        <v>1.9864392230000001</v>
      </c>
      <c r="B12" cm="1">
        <f t="array" ref="B12">GetEfficienza(B$2,B$3,A12)</f>
        <v>0.78754195506123659</v>
      </c>
      <c r="D12" s="29">
        <v>2.2588313690000001</v>
      </c>
      <c r="E12" cm="1">
        <f t="array" ref="E12">GetEfficienza(E$2,E$3,D12)</f>
        <v>0.63783393808430244</v>
      </c>
      <c r="G12" s="29">
        <v>2.2946270549999999</v>
      </c>
      <c r="H12" cm="1">
        <f t="array" ref="H12">GetEfficienza(H$2,H$3,G12)</f>
        <v>0.42218399419604108</v>
      </c>
      <c r="J12" s="25"/>
      <c r="K12" s="25"/>
    </row>
    <row r="13" spans="1:44" x14ac:dyDescent="0.25">
      <c r="A13" s="29">
        <v>2.151317116</v>
      </c>
      <c r="B13" cm="1">
        <f t="array" ref="B13">GetEfficienza(B$2,B$3,A13)</f>
        <v>0.75368597648373437</v>
      </c>
      <c r="D13" s="29">
        <v>2.5827185049999999</v>
      </c>
      <c r="E13" cm="1">
        <f t="array" ref="E13">GetEfficienza(E$2,E$3,D13)</f>
        <v>0.58735607274512935</v>
      </c>
      <c r="G13" s="29">
        <v>2.5569082010000002</v>
      </c>
      <c r="H13" cm="1">
        <f t="array" ref="H13">GetEfficienza(H$2,H$3,G13)</f>
        <v>0.39426197968414772</v>
      </c>
      <c r="J13" s="25"/>
      <c r="K13" s="25"/>
    </row>
    <row r="14" spans="1:44" x14ac:dyDescent="0.25">
      <c r="A14" s="29">
        <v>2.40584519</v>
      </c>
      <c r="B14" cm="1">
        <f t="array" ref="B14">GetEfficienza(B$2,B$3,A14)</f>
        <v>0.70530996604731688</v>
      </c>
      <c r="D14" s="29">
        <v>2.9933268750000002</v>
      </c>
      <c r="E14" cm="1">
        <f t="array" ref="E14">GetEfficienza(E$2,E$3,D14)</f>
        <v>0.52994301661924403</v>
      </c>
      <c r="G14" s="29">
        <v>2.8316617179999999</v>
      </c>
      <c r="H14" cm="1">
        <f t="array" ref="H14">GetEfficienza(H$2,H$3,G14)</f>
        <v>0.36831902633238928</v>
      </c>
    </row>
    <row r="15" spans="1:44" x14ac:dyDescent="0.25">
      <c r="A15" s="29">
        <v>2.761563572</v>
      </c>
      <c r="B15" cm="1">
        <f t="array" ref="B15">GetEfficienza(B$2,B$3,A15)</f>
        <v>0.64585606765730852</v>
      </c>
      <c r="D15" s="29">
        <v>3.3836692190000002</v>
      </c>
      <c r="E15" cm="1">
        <f t="array" ref="E15">GetEfficienza(E$2,E$3,D15)</f>
        <v>0.48012097300128992</v>
      </c>
      <c r="G15" s="29">
        <v>3.0772734590000002</v>
      </c>
      <c r="H15" cm="1">
        <f t="array" ref="H15">GetEfficienza(H$2,H$3,G15)</f>
        <v>0.34536895892409408</v>
      </c>
    </row>
    <row r="16" spans="1:44" x14ac:dyDescent="0.25">
      <c r="A16" s="29">
        <v>3.189548453</v>
      </c>
      <c r="B16" cm="1">
        <f t="array" ref="B16">GetEfficienza(B$2,B$3,A16)</f>
        <v>0.58085193323324547</v>
      </c>
      <c r="D16" s="29">
        <v>3.721950144</v>
      </c>
      <c r="E16" cm="1">
        <f t="array" ref="E16">GetEfficienza(E$2,E$3,D16)</f>
        <v>0.43997598381478048</v>
      </c>
      <c r="G16" s="29">
        <v>3.4102898779999999</v>
      </c>
      <c r="H16" cm="1">
        <f t="array" ref="H16">GetEfficienza(H$2,H$3,G16)</f>
        <v>0.31741201020776527</v>
      </c>
    </row>
    <row r="17" spans="1:8" x14ac:dyDescent="0.25">
      <c r="A17" s="29">
        <v>3.4873869540000002</v>
      </c>
      <c r="B17" cm="1">
        <f t="array" ref="B17">GetEfficienza(B$2,B$3,A17)</f>
        <v>0.53865800607996528</v>
      </c>
      <c r="D17" s="29">
        <v>4.0746607079999997</v>
      </c>
      <c r="E17" cm="1">
        <f t="array" ref="E17">GetEfficienza(E$2,E$3,D17)</f>
        <v>0.40326902794479452</v>
      </c>
      <c r="G17" s="29">
        <v>3.6891888050000001</v>
      </c>
      <c r="H17" cm="1">
        <f t="array" ref="H17">GetEfficienza(H$2,H$3,G17)</f>
        <v>0.29444401473174026</v>
      </c>
    </row>
    <row r="18" spans="1:8" x14ac:dyDescent="0.25">
      <c r="A18" s="29">
        <v>3.7909758010000001</v>
      </c>
      <c r="B18" cm="1">
        <f t="array" ref="B18">GetEfficienza(B$2,B$3,A18)</f>
        <v>0.50197602222042759</v>
      </c>
      <c r="D18" s="29">
        <v>4.5053917019999998</v>
      </c>
      <c r="E18" cm="1">
        <f t="array" ref="E18">GetEfficienza(E$2,E$3,D18)</f>
        <v>0.36583402372155555</v>
      </c>
      <c r="G18" s="29">
        <v>4.0013645960000002</v>
      </c>
      <c r="H18" cm="1">
        <f t="array" ref="H18">GetEfficienza(H$2,H$3,G18)</f>
        <v>0.27344602603946644</v>
      </c>
    </row>
    <row r="19" spans="1:8" x14ac:dyDescent="0.25">
      <c r="A19" s="29">
        <v>4.1523692429999999</v>
      </c>
      <c r="B19" cm="1">
        <f t="array" ref="B19">GetEfficienza(B$2,B$3,A19)</f>
        <v>0.46250797263050947</v>
      </c>
      <c r="D19" s="29">
        <v>5.0546034740000003</v>
      </c>
      <c r="E19" cm="1">
        <f t="array" ref="E19">GetEfficienza(E$2,E$3,D19)</f>
        <v>0.32627296951271029</v>
      </c>
      <c r="G19" s="29">
        <v>4.3801302470000003</v>
      </c>
      <c r="H19" cm="1">
        <f t="array" ref="H19">GetEfficienza(H$2,H$3,G19)</f>
        <v>0.24943698566898778</v>
      </c>
    </row>
    <row r="20" spans="1:8" x14ac:dyDescent="0.25">
      <c r="A20" s="29">
        <v>4.4125723780000001</v>
      </c>
      <c r="B20" cm="1">
        <f t="array" ref="B20">GetEfficienza(B$2,B$3,A20)</f>
        <v>0.43411896395518645</v>
      </c>
      <c r="D20" s="29">
        <v>5.4043420700000002</v>
      </c>
      <c r="E20" cm="1">
        <f t="array" ref="E20">GetEfficienza(E$2,E$3,D20)</f>
        <v>0.30542099613394169</v>
      </c>
      <c r="G20" s="29">
        <v>4.7047680830000003</v>
      </c>
      <c r="H20" cm="1">
        <f t="array" ref="H20">GetEfficienza(H$2,H$3,G20)</f>
        <v>0.23240199587761079</v>
      </c>
    </row>
    <row r="21" spans="1:8" x14ac:dyDescent="0.25">
      <c r="A21" s="29">
        <v>4.626489533</v>
      </c>
      <c r="B21" cm="1">
        <f t="array" ref="B21">GetEfficienza(B$2,B$3,A21)</f>
        <v>0.41609103820733273</v>
      </c>
      <c r="D21" s="29">
        <v>5.6847000940000001</v>
      </c>
      <c r="E21" cm="1">
        <f t="array" ref="E21">GetEfficienza(E$2,E$3,D21)</f>
        <v>0.29080699537558563</v>
      </c>
      <c r="G21" s="29">
        <v>4.9961032449999996</v>
      </c>
      <c r="H21" cm="1">
        <f t="array" ref="H21">GetEfficienza(H$2,H$3,G21)</f>
        <v>0.21836198890129296</v>
      </c>
    </row>
    <row r="22" spans="1:8" x14ac:dyDescent="0.25">
      <c r="A22" s="29">
        <v>4.9386931430000001</v>
      </c>
      <c r="B22" cm="1">
        <f t="array" ref="B22">GetEfficienza(B$2,B$3,A22)</f>
        <v>0.38974398848089664</v>
      </c>
      <c r="D22" s="29">
        <v>5.9188008190000003</v>
      </c>
      <c r="E22" cm="1">
        <f t="array" ref="E22">GetEfficienza(E$2,E$3,D22)</f>
        <v>0.28104100526018566</v>
      </c>
      <c r="G22" s="29">
        <v>5.3290473900000004</v>
      </c>
      <c r="H22" cm="1">
        <f t="array" ref="H22">GetEfficienza(H$2,H$3,G22)</f>
        <v>0.20430098400329794</v>
      </c>
    </row>
    <row r="23" spans="1:8" x14ac:dyDescent="0.25">
      <c r="A23" s="29">
        <v>5.2711125870000002</v>
      </c>
      <c r="B23" cm="1">
        <f t="array" ref="B23">GetEfficienza(B$2,B$3,A23)</f>
        <v>0.36545402850490388</v>
      </c>
      <c r="D23" s="29">
        <v>5.9749999999999996</v>
      </c>
      <c r="E23" cm="1">
        <f t="array" ref="E23">GetEfficienza(E$2,E$3,D23)</f>
        <v>0.27966509386849953</v>
      </c>
      <c r="G23" s="29">
        <v>5.645337617</v>
      </c>
      <c r="H23" cm="1">
        <f t="array" ref="H23">GetEfficienza(H$2,H$3,G23)</f>
        <v>0.19223301218841726</v>
      </c>
    </row>
    <row r="24" spans="1:8" x14ac:dyDescent="0.25">
      <c r="A24" s="29">
        <v>5.4936803559999996</v>
      </c>
      <c r="B24" cm="1">
        <f t="array" ref="B24">GetEfficienza(B$2,B$3,A24)</f>
        <v>0.35086897900711944</v>
      </c>
      <c r="G24" s="29">
        <v>5.8326038569999996</v>
      </c>
      <c r="H24" cm="1">
        <f t="array" ref="H24">GetEfficienza(H$2,H$3,G24)</f>
        <v>0.18717700331077528</v>
      </c>
    </row>
    <row r="25" spans="1:8" x14ac:dyDescent="0.25">
      <c r="A25" s="29">
        <v>5.7538153760000004</v>
      </c>
      <c r="B25" cm="1">
        <f t="array" ref="B25">GetEfficienza(B$2,B$3,A25)</f>
        <v>0.3355759737962446</v>
      </c>
      <c r="G25" s="29">
        <v>5.9740898900000001</v>
      </c>
      <c r="H25" cm="1">
        <f t="array" ref="H25">GetEfficienza(H$2,H$3,G25)</f>
        <v>0.18412900225405332</v>
      </c>
    </row>
    <row r="26" spans="1:8" x14ac:dyDescent="0.25">
      <c r="A26" s="29">
        <v>5.9301258450000001</v>
      </c>
      <c r="B26" cm="1">
        <f t="array" ref="B26">GetEfficienza(B$2,B$3,A26)</f>
        <v>0.32583900176654346</v>
      </c>
    </row>
    <row r="27" spans="1:8" x14ac:dyDescent="0.25">
      <c r="A27" s="29">
        <v>5.9820000000000002</v>
      </c>
      <c r="B27" cm="1">
        <f t="array" ref="B27">GetEfficienza(B$2,B$3,A27)</f>
        <v>0.32649676328988186</v>
      </c>
    </row>
  </sheetData>
  <mergeCells count="2">
    <mergeCell ref="A1:I1"/>
    <mergeCell ref="J2:K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E3EA-535A-4814-9AAE-275469CAA771}">
  <sheetPr codeName="Foglio10">
    <pageSetUpPr fitToPage="1"/>
  </sheetPr>
  <dimension ref="A1:AU28"/>
  <sheetViews>
    <sheetView workbookViewId="0">
      <selection sqref="A1:L1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1" t="s">
        <v>90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123</v>
      </c>
      <c r="B2">
        <v>2.5</v>
      </c>
      <c r="D2" t="s">
        <v>123</v>
      </c>
      <c r="E2">
        <v>2.5</v>
      </c>
      <c r="G2" t="s">
        <v>123</v>
      </c>
      <c r="H2">
        <v>2.5</v>
      </c>
      <c r="J2" t="s">
        <v>123</v>
      </c>
      <c r="K2">
        <v>2.5</v>
      </c>
      <c r="M2" s="42" t="s">
        <v>126</v>
      </c>
      <c r="N2" s="42"/>
    </row>
    <row r="3" spans="1:47" x14ac:dyDescent="0.25">
      <c r="A3" t="s">
        <v>83</v>
      </c>
      <c r="B3">
        <v>0.5</v>
      </c>
      <c r="D3" t="s">
        <v>83</v>
      </c>
      <c r="E3">
        <v>1</v>
      </c>
      <c r="G3" t="s">
        <v>83</v>
      </c>
      <c r="H3">
        <v>1.5</v>
      </c>
      <c r="J3" t="s">
        <v>83</v>
      </c>
      <c r="K3">
        <v>2</v>
      </c>
      <c r="M3" s="26" t="s">
        <v>101</v>
      </c>
      <c r="N3" s="26" t="s">
        <v>102</v>
      </c>
      <c r="O3" s="26" t="s">
        <v>83</v>
      </c>
    </row>
    <row r="4" spans="1:47" x14ac:dyDescent="0.25">
      <c r="A4" s="3" t="s">
        <v>124</v>
      </c>
      <c r="B4" s="3" t="s">
        <v>125</v>
      </c>
      <c r="D4" s="3" t="s">
        <v>91</v>
      </c>
      <c r="E4" s="3" t="s">
        <v>92</v>
      </c>
      <c r="F4" s="3"/>
      <c r="G4" s="3" t="s">
        <v>91</v>
      </c>
      <c r="H4" s="3" t="s">
        <v>92</v>
      </c>
      <c r="I4" s="3"/>
      <c r="J4" s="3" t="s">
        <v>91</v>
      </c>
      <c r="K4" s="3" t="s">
        <v>92</v>
      </c>
      <c r="M4" s="30">
        <f>ANALISI!C50</f>
        <v>2.6</v>
      </c>
      <c r="N4" s="27" cm="1">
        <f t="array" ref="N4">GetEfficienza(B$2,O4,M4)</f>
        <v>0.68267238256868679</v>
      </c>
      <c r="O4" s="27">
        <v>0.5</v>
      </c>
    </row>
    <row r="5" spans="1:47" x14ac:dyDescent="0.25">
      <c r="A5" s="29">
        <v>0.63471732400000003</v>
      </c>
      <c r="B5" cm="1">
        <f t="array" ref="B5">GetEfficienza(B$2,B$3,A5)</f>
        <v>0.9941469739842751</v>
      </c>
      <c r="D5" s="29">
        <v>0.50900000000000001</v>
      </c>
      <c r="E5" cm="1">
        <f t="array" ref="E5">GetEfficienza(E$2,E$3,D5)</f>
        <v>0.96323188885591882</v>
      </c>
      <c r="G5">
        <v>0.49846990899999999</v>
      </c>
      <c r="H5" cm="1">
        <f t="array" ref="H5">GetEfficienza(H$2,H$3,G5)</f>
        <v>0.64452801184342423</v>
      </c>
      <c r="J5">
        <v>0.49859999999999999</v>
      </c>
      <c r="K5" cm="1">
        <f t="array" ref="K5">GetEfficienza(K$2,K$3,J5)</f>
        <v>0.4824488874631489</v>
      </c>
      <c r="M5" s="28">
        <f>M4</f>
        <v>2.6</v>
      </c>
      <c r="N5" s="28" cm="1">
        <f t="array" ref="N5">GetEfficienza(B$2,O5,M5)</f>
        <v>0.59153669374309392</v>
      </c>
      <c r="O5" s="28">
        <v>1</v>
      </c>
    </row>
    <row r="6" spans="1:47" x14ac:dyDescent="0.25">
      <c r="A6" s="29">
        <v>0.82756861999999998</v>
      </c>
      <c r="B6" cm="1">
        <f t="array" ref="B6">GetEfficienza(B$2,B$3,A6)</f>
        <v>0.98015702734269727</v>
      </c>
      <c r="D6" s="29">
        <v>0.74105052800000004</v>
      </c>
      <c r="E6" cm="1">
        <f t="array" ref="E6">GetEfficienza(E$2,E$3,D6)</f>
        <v>0.92324408434845107</v>
      </c>
      <c r="G6">
        <v>0.70992321899999999</v>
      </c>
      <c r="H6" cm="1">
        <f t="array" ref="H6">GetEfficienza(H$2,H$3,G6)</f>
        <v>0.61775697286448672</v>
      </c>
      <c r="J6">
        <v>0.72085008699999997</v>
      </c>
      <c r="K6" cm="1">
        <f t="array" ref="K6">GetEfficienza(K$2,K$3,J6)</f>
        <v>0.46218899188669499</v>
      </c>
      <c r="M6" s="30">
        <f>M5</f>
        <v>2.6</v>
      </c>
      <c r="N6" s="27" cm="1">
        <f t="array" ref="N6">GetEfficienza(B$2,O6,M6)</f>
        <v>0.39441193262994789</v>
      </c>
      <c r="O6" s="27">
        <v>1.5</v>
      </c>
    </row>
    <row r="7" spans="1:47" x14ac:dyDescent="0.25">
      <c r="A7" s="29">
        <v>1.005062892</v>
      </c>
      <c r="B7" cm="1">
        <f t="array" ref="B7">GetEfficienza(B$2,B$3,A7)</f>
        <v>0.96523401104479112</v>
      </c>
      <c r="D7" s="29">
        <v>0.93852826</v>
      </c>
      <c r="E7" cm="1">
        <f t="array" ref="E7">GetEfficienza(E$2,E$3,D7)</f>
        <v>0.88675395029970383</v>
      </c>
      <c r="G7">
        <v>0.93804067599999996</v>
      </c>
      <c r="H7" cm="1">
        <f t="array" ref="H7">GetEfficienza(H$2,H$3,G7)</f>
        <v>0.58972403980410526</v>
      </c>
      <c r="J7">
        <v>0.93761868500000001</v>
      </c>
      <c r="K7" cm="1">
        <f t="array" ref="K7">GetEfficienza(K$2,K$3,J7)</f>
        <v>0.44191102928542292</v>
      </c>
      <c r="M7" s="28">
        <f>M5</f>
        <v>2.6</v>
      </c>
      <c r="N7" s="28" cm="1">
        <f t="array" ref="N7">GetEfficienza(B$2,O7,M7)</f>
        <v>0.29702531111725655</v>
      </c>
      <c r="O7" s="28">
        <v>2</v>
      </c>
    </row>
    <row r="8" spans="1:47" x14ac:dyDescent="0.25">
      <c r="A8" s="29">
        <v>1.163477793</v>
      </c>
      <c r="B8" cm="1">
        <f t="array" ref="B8">GetEfficienza(B$2,B$3,A8)</f>
        <v>0.94576702949197011</v>
      </c>
      <c r="D8" s="29">
        <v>1.2445339470000001</v>
      </c>
      <c r="E8" cm="1">
        <f t="array" ref="E8">GetEfficienza(E$2,E$3,D8)</f>
        <v>0.8270880101919903</v>
      </c>
      <c r="G8">
        <v>1.1768520579999999</v>
      </c>
      <c r="H8" cm="1">
        <f t="array" ref="H8">GetEfficienza(H$2,H$3,G8)</f>
        <v>0.55951799229993027</v>
      </c>
      <c r="J8">
        <v>1.171051431</v>
      </c>
      <c r="K8" cm="1">
        <f t="array" ref="K8">GetEfficienza(K$2,K$3,J8)</f>
        <v>0.42037396017419354</v>
      </c>
      <c r="M8" s="25"/>
      <c r="N8" s="25"/>
    </row>
    <row r="9" spans="1:47" x14ac:dyDescent="0.25">
      <c r="A9" s="29">
        <v>1.294994521</v>
      </c>
      <c r="B9" cm="1">
        <f t="array" ref="B9">GetEfficienza(B$2,B$3,A9)</f>
        <v>0.92534207930241785</v>
      </c>
      <c r="D9" s="29">
        <v>1.473006305</v>
      </c>
      <c r="E9" cm="1">
        <f t="array" ref="E9">GetEfficienza(E$2,E$3,D9)</f>
        <v>0.78436094409511314</v>
      </c>
      <c r="G9">
        <v>1.4242479109999999</v>
      </c>
      <c r="H9" cm="1">
        <f t="array" ref="H9">GetEfficienza(H$2,H$3,G9)</f>
        <v>0.52583701189654486</v>
      </c>
      <c r="J9">
        <v>1.398944424</v>
      </c>
      <c r="K9" cm="1">
        <f t="array" ref="K9">GetEfficienza(K$2,K$3,J9)</f>
        <v>0.39882395848453123</v>
      </c>
      <c r="M9" s="25"/>
      <c r="N9" s="25"/>
    </row>
    <row r="10" spans="1:47" x14ac:dyDescent="0.25">
      <c r="A10" s="29">
        <v>1.438208275</v>
      </c>
      <c r="B10" cm="1">
        <f t="array" ref="B10">GetEfficienza(B$2,B$3,A10)</f>
        <v>0.90043994990535292</v>
      </c>
      <c r="D10" s="29">
        <v>1.666605812</v>
      </c>
      <c r="E10" cm="1">
        <f t="array" ref="E10">GetEfficienza(E$2,E$3,D10)</f>
        <v>0.74876303512778153</v>
      </c>
      <c r="G10">
        <v>1.717933063</v>
      </c>
      <c r="H10" cm="1">
        <f t="array" ref="H10">GetEfficienza(H$2,H$3,G10)</f>
        <v>0.48865399229045248</v>
      </c>
      <c r="J10">
        <v>1.7213723379999999</v>
      </c>
      <c r="K10" cm="1">
        <f t="array" ref="K10">GetEfficienza(K$2,K$3,J10)</f>
        <v>0.36710596861373374</v>
      </c>
      <c r="M10" s="25"/>
      <c r="N10" s="25"/>
    </row>
    <row r="11" spans="1:47" x14ac:dyDescent="0.25">
      <c r="A11" s="29">
        <v>1.604753731</v>
      </c>
      <c r="B11" cm="1">
        <f t="array" ref="B11">GetEfficienza(B$2,B$3,A11)</f>
        <v>0.86838505474160366</v>
      </c>
      <c r="D11" s="29">
        <v>1.9144381210000001</v>
      </c>
      <c r="E11" cm="1">
        <f t="array" ref="E11">GetEfficienza(E$2,E$3,D11)</f>
        <v>0.70247697825467958</v>
      </c>
      <c r="G11">
        <v>1.926546664</v>
      </c>
      <c r="H11" cm="1">
        <f t="array" ref="H11">GetEfficienza(H$2,H$3,G11)</f>
        <v>0.46389403773866672</v>
      </c>
      <c r="J11">
        <v>2.0325411779999998</v>
      </c>
      <c r="K11" cm="1">
        <f t="array" ref="K11">GetEfficienza(K$2,K$3,J11)</f>
        <v>0.34054998551167809</v>
      </c>
      <c r="M11" s="25"/>
      <c r="N11" s="25"/>
    </row>
    <row r="12" spans="1:47" x14ac:dyDescent="0.25">
      <c r="A12" s="29">
        <v>1.7248851869999999</v>
      </c>
      <c r="B12" cm="1">
        <f t="array" ref="B12">GetEfficienza(B$2,B$3,A12)</f>
        <v>0.84343296117133992</v>
      </c>
      <c r="D12" s="29">
        <v>2.3052659559999999</v>
      </c>
      <c r="E12" cm="1">
        <f t="array" ref="E12">GetEfficienza(E$2,E$3,D12)</f>
        <v>0.63759200707217689</v>
      </c>
      <c r="G12">
        <v>2.1929907129999999</v>
      </c>
      <c r="H12" cm="1">
        <f t="array" ref="H12">GetEfficienza(H$2,H$3,G12)</f>
        <v>0.43565603009885384</v>
      </c>
      <c r="J12">
        <v>2.415861467</v>
      </c>
      <c r="K12" cm="1">
        <f t="array" ref="K12">GetEfficienza(K$2,K$3,J12)</f>
        <v>0.31025996509766063</v>
      </c>
      <c r="M12" s="25"/>
      <c r="N12" s="25"/>
    </row>
    <row r="13" spans="1:47" x14ac:dyDescent="0.25">
      <c r="A13" s="29">
        <v>1.961207522</v>
      </c>
      <c r="B13" cm="1">
        <f t="array" ref="B13">GetEfficienza(B$2,B$3,A13)</f>
        <v>0.79622109205768665</v>
      </c>
      <c r="D13" s="29">
        <v>2.5528488619999998</v>
      </c>
      <c r="E13" cm="1">
        <f t="array" ref="E13">GetEfficienza(E$2,E$3,D13)</f>
        <v>0.59850802072054088</v>
      </c>
      <c r="G13">
        <v>2.428533662</v>
      </c>
      <c r="H13" cm="1">
        <f t="array" ref="H13">GetEfficienza(H$2,H$3,G13)</f>
        <v>0.41095403421409737</v>
      </c>
      <c r="J13">
        <v>2.837915126</v>
      </c>
      <c r="K13" cm="1">
        <f t="array" ref="K13">GetEfficienza(K$2,K$3,J13)</f>
        <v>0.28134999208259648</v>
      </c>
      <c r="M13" s="25"/>
      <c r="N13" s="25"/>
    </row>
    <row r="14" spans="1:47" x14ac:dyDescent="0.25">
      <c r="A14" s="29">
        <v>2.1935581059999998</v>
      </c>
      <c r="B14" cm="1">
        <f t="array" ref="B14">GetEfficienza(B$2,B$3,A14)</f>
        <v>0.7526029804533938</v>
      </c>
      <c r="D14" s="29">
        <v>2.819604665</v>
      </c>
      <c r="E14" cm="1">
        <f t="array" ref="E14">GetEfficienza(E$2,E$3,D14)</f>
        <v>0.5612670442378922</v>
      </c>
      <c r="G14">
        <v>2.7797686829999999</v>
      </c>
      <c r="H14" cm="1">
        <f t="array" ref="H14">GetEfficienza(H$2,H$3,G14)</f>
        <v>0.37839702742183895</v>
      </c>
      <c r="J14">
        <v>3.2709585030000001</v>
      </c>
      <c r="K14" cm="1">
        <f t="array" ref="K14">GetEfficienza(K$2,K$3,J14)</f>
        <v>0.25505803065847898</v>
      </c>
    </row>
    <row r="15" spans="1:47" x14ac:dyDescent="0.25">
      <c r="A15" s="29">
        <v>2.4064863879999998</v>
      </c>
      <c r="B15" cm="1">
        <f t="array" ref="B15">GetEfficienza(B$2,B$3,A15)</f>
        <v>0.71434593332480312</v>
      </c>
      <c r="D15" s="29">
        <v>3.1982678419999999</v>
      </c>
      <c r="E15" cm="1">
        <f t="array" ref="E15">GetEfficienza(E$2,E$3,D15)</f>
        <v>0.51436401800693676</v>
      </c>
      <c r="G15">
        <v>3.0961620289999998</v>
      </c>
      <c r="H15" cm="1">
        <f t="array" ref="H15">GetEfficienza(H$2,H$3,G15)</f>
        <v>0.35206899767726746</v>
      </c>
      <c r="J15">
        <v>3.6262657850000002</v>
      </c>
      <c r="K15" cm="1">
        <f t="array" ref="K15">GetEfficienza(K$2,K$3,J15)</f>
        <v>0.23378301137819762</v>
      </c>
    </row>
    <row r="16" spans="1:47" x14ac:dyDescent="0.25">
      <c r="A16" s="29">
        <v>2.6076864679999998</v>
      </c>
      <c r="B16" cm="1">
        <f t="array" ref="B16">GetEfficienza(B$2,B$3,A16)</f>
        <v>0.68146492656629709</v>
      </c>
      <c r="D16" s="29">
        <v>3.592163341</v>
      </c>
      <c r="E16" cm="1">
        <f t="array" ref="E16">GetEfficienza(E$2,E$3,D16)</f>
        <v>0.47199496357148668</v>
      </c>
      <c r="G16">
        <v>3.4780487459999998</v>
      </c>
      <c r="H16" cm="1">
        <f t="array" ref="H16">GetEfficienza(H$2,H$3,G16)</f>
        <v>0.32318001785918271</v>
      </c>
      <c r="J16">
        <v>4.0091371489999998</v>
      </c>
      <c r="K16" cm="1">
        <f t="array" ref="K16">GetEfficienza(K$2,K$3,J16)</f>
        <v>0.21645799360067125</v>
      </c>
    </row>
    <row r="17" spans="1:11" x14ac:dyDescent="0.25">
      <c r="A17" s="29">
        <v>3.0021743000000001</v>
      </c>
      <c r="B17" cm="1">
        <f t="array" ref="B17">GetEfficienza(B$2,B$3,A17)</f>
        <v>0.62198995574516558</v>
      </c>
      <c r="D17" s="29">
        <v>3.8701797149999999</v>
      </c>
      <c r="E17" cm="1">
        <f t="array" ref="E17">GetEfficienza(E$2,E$3,D17)</f>
        <v>0.44288202764830742</v>
      </c>
      <c r="G17">
        <v>3.9060688859999999</v>
      </c>
      <c r="H17" cm="1">
        <f t="array" ref="H17">GetEfficienza(H$2,H$3,G17)</f>
        <v>0.29529200704777425</v>
      </c>
      <c r="J17">
        <v>4.4363714180000002</v>
      </c>
      <c r="K17" cm="1">
        <f t="array" ref="K17">GetEfficienza(K$2,K$3,J17)</f>
        <v>0.19793298296223186</v>
      </c>
    </row>
    <row r="18" spans="1:11" x14ac:dyDescent="0.25">
      <c r="A18" s="29">
        <v>3.210974953</v>
      </c>
      <c r="B18" cm="1">
        <f t="array" ref="B18">GetEfficienza(B$2,B$3,A18)</f>
        <v>0.59182700651086828</v>
      </c>
      <c r="D18" s="29">
        <v>4.2136271110000001</v>
      </c>
      <c r="E18" cm="1">
        <f t="array" ref="E18">GetEfficienza(E$2,E$3,D18)</f>
        <v>0.41300999074972994</v>
      </c>
      <c r="G18">
        <v>4.3571401490000001</v>
      </c>
      <c r="H18" cm="1">
        <f t="array" ref="H18">GetEfficienza(H$2,H$3,G18)</f>
        <v>0.26835399149104838</v>
      </c>
      <c r="J18">
        <v>4.8357722509999999</v>
      </c>
      <c r="K18" cm="1">
        <f t="array" ref="K18">GetEfficienza(K$2,K$3,J18)</f>
        <v>0.18323599143618927</v>
      </c>
    </row>
    <row r="19" spans="1:11" x14ac:dyDescent="0.25">
      <c r="A19" s="29">
        <v>3.4660337299999999</v>
      </c>
      <c r="B19" cm="1">
        <f t="array" ref="B19">GetEfficienza(B$2,B$3,A19)</f>
        <v>0.55906303214647912</v>
      </c>
      <c r="D19" s="29">
        <v>4.4682806069999996</v>
      </c>
      <c r="E19" cm="1">
        <f t="array" ref="E19">GetEfficienza(E$2,E$3,D19)</f>
        <v>0.39195103119536062</v>
      </c>
      <c r="G19">
        <v>4.7117545889999999</v>
      </c>
      <c r="H19" cm="1">
        <f t="array" ref="H19">GetEfficienza(H$2,H$3,G19)</f>
        <v>0.24931102027997104</v>
      </c>
      <c r="J19">
        <v>5.2406679430000001</v>
      </c>
      <c r="K19" cm="1">
        <f t="array" ref="K19">GetEfficienza(K$2,K$3,J19)</f>
        <v>0.16984900184481347</v>
      </c>
    </row>
    <row r="20" spans="1:11" x14ac:dyDescent="0.25">
      <c r="A20" s="29">
        <v>3.7364183560000002</v>
      </c>
      <c r="B20" cm="1">
        <f t="array" ref="B20">GetEfficienza(B$2,B$3,A20)</f>
        <v>0.52813295930959536</v>
      </c>
      <c r="D20" s="29">
        <v>4.8038468500000002</v>
      </c>
      <c r="E20" cm="1">
        <f t="array" ref="E20">GetEfficienza(E$2,E$3,D20)</f>
        <v>0.3674640102099781</v>
      </c>
      <c r="G20">
        <v>5.0700913759999997</v>
      </c>
      <c r="H20" cm="1">
        <f t="array" ref="H20">GetEfficienza(H$2,H$3,G20)</f>
        <v>0.23387798650772706</v>
      </c>
      <c r="J20">
        <v>5.4957658760000001</v>
      </c>
      <c r="K20" cm="1">
        <f t="array" ref="K20">GetEfficienza(K$2,K$3,J20)</f>
        <v>0.16262100254028242</v>
      </c>
    </row>
    <row r="21" spans="1:11" x14ac:dyDescent="0.25">
      <c r="A21" s="29">
        <v>4.0029247549999996</v>
      </c>
      <c r="B21" cm="1">
        <f t="array" ref="B21">GetEfficienza(B$2,B$3,A21)</f>
        <v>0.49809402575623718</v>
      </c>
      <c r="D21" s="29">
        <v>5.0737638440000001</v>
      </c>
      <c r="E21" cm="1">
        <f t="array" ref="E21">GetEfficienza(E$2,E$3,D21)</f>
        <v>0.35003900940327465</v>
      </c>
      <c r="G21">
        <v>5.5207573590000001</v>
      </c>
      <c r="H21" cm="1">
        <f t="array" ref="H21">GetEfficienza(H$2,H$3,G21)</f>
        <v>0.21864398570338089</v>
      </c>
      <c r="J21">
        <v>5.7008713660000003</v>
      </c>
      <c r="K21" cm="1">
        <f t="array" ref="K21">GetEfficienza(K$2,K$3,J21)</f>
        <v>0.15917399311008495</v>
      </c>
    </row>
    <row r="22" spans="1:11" x14ac:dyDescent="0.25">
      <c r="A22" s="29">
        <v>4.2306800789999999</v>
      </c>
      <c r="B22" cm="1">
        <f t="array" ref="B22">GetEfficienza(B$2,B$3,A22)</f>
        <v>0.47607599278107016</v>
      </c>
      <c r="D22" s="29">
        <v>5.4014177590000001</v>
      </c>
      <c r="E22" cm="1">
        <f t="array" ref="E22">GetEfficienza(E$2,E$3,D22)</f>
        <v>0.33183901258352988</v>
      </c>
      <c r="G22">
        <v>5.7634955999999997</v>
      </c>
      <c r="H22" cm="1">
        <f t="array" ref="H22">GetEfficienza(H$2,H$3,G22)</f>
        <v>0.20836401591898102</v>
      </c>
      <c r="J22">
        <v>5.89</v>
      </c>
      <c r="K22" cm="1">
        <f t="array" ref="K22">GetEfficienza(K$2,K$3,J22)</f>
        <v>0.15335122311291824</v>
      </c>
    </row>
    <row r="23" spans="1:11" x14ac:dyDescent="0.25">
      <c r="A23" s="29">
        <v>4.5895780239999997</v>
      </c>
      <c r="B23" cm="1">
        <f t="array" ref="B23">GetEfficienza(B$2,B$3,A23)</f>
        <v>0.44443699795813707</v>
      </c>
      <c r="D23" s="29">
        <v>5.7444286990000002</v>
      </c>
      <c r="E23" cm="1">
        <f t="array" ref="E23">GetEfficienza(E$2,E$3,D23)</f>
        <v>0.31457201463331758</v>
      </c>
      <c r="G23">
        <v>5.9175646439999996</v>
      </c>
      <c r="H23" cm="1">
        <f t="array" ref="H23">GetEfficienza(H$2,H$3,G23)</f>
        <v>0.20329400853370463</v>
      </c>
    </row>
    <row r="24" spans="1:11" x14ac:dyDescent="0.25">
      <c r="A24" s="29">
        <v>4.8480785700000002</v>
      </c>
      <c r="B24" cm="1">
        <f t="array" ref="B24">GetEfficienza(B$2,B$3,A24)</f>
        <v>0.42338603279288411</v>
      </c>
      <c r="D24" s="29">
        <v>5.9050000000000002</v>
      </c>
      <c r="E24" cm="1">
        <f t="array" ref="E24">GetEfficienza(E$2,E$3,D24)</f>
        <v>0.30687869890175723</v>
      </c>
    </row>
    <row r="25" spans="1:11" x14ac:dyDescent="0.25">
      <c r="A25" s="29">
        <v>5.2453223119999999</v>
      </c>
      <c r="B25" cm="1">
        <f t="array" ref="B25">GetEfficienza(B$2,B$3,A25)</f>
        <v>0.39543097850578396</v>
      </c>
    </row>
    <row r="26" spans="1:11" x14ac:dyDescent="0.25">
      <c r="A26" s="29">
        <v>5.5036981559999996</v>
      </c>
      <c r="B26" cm="1">
        <f t="array" ref="B26">GetEfficienza(B$2,B$3,A26)</f>
        <v>0.37798099018391551</v>
      </c>
    </row>
    <row r="27" spans="1:11" x14ac:dyDescent="0.25">
      <c r="A27" s="29">
        <v>5.7966662729999996</v>
      </c>
      <c r="B27" cm="1">
        <f t="array" ref="B27">GetEfficienza(B$2,B$3,A27)</f>
        <v>0.36150598586298494</v>
      </c>
    </row>
    <row r="28" spans="1:11" x14ac:dyDescent="0.25">
      <c r="A28" s="29">
        <v>5.931</v>
      </c>
      <c r="B28" cm="1">
        <f t="array" ref="B28">GetEfficienza(B$2,B$3,A28)</f>
        <v>0.35462275630224271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C006-CDC3-4FC3-A5A6-83495B8539EC}">
  <sheetPr codeName="Foglio11">
    <pageSetUpPr fitToPage="1"/>
  </sheetPr>
  <dimension ref="A1:AU29"/>
  <sheetViews>
    <sheetView zoomScale="85" zoomScaleNormal="85" workbookViewId="0">
      <selection activeCell="Y23" sqref="Y23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1" t="s">
        <v>90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123</v>
      </c>
      <c r="B2">
        <v>4</v>
      </c>
      <c r="D2" t="s">
        <v>123</v>
      </c>
      <c r="E2">
        <v>4</v>
      </c>
      <c r="G2" t="s">
        <v>123</v>
      </c>
      <c r="H2">
        <v>4</v>
      </c>
      <c r="J2" t="s">
        <v>123</v>
      </c>
      <c r="K2">
        <v>4</v>
      </c>
      <c r="M2" s="42" t="s">
        <v>126</v>
      </c>
      <c r="N2" s="42"/>
    </row>
    <row r="3" spans="1:47" x14ac:dyDescent="0.25">
      <c r="A3" t="s">
        <v>83</v>
      </c>
      <c r="B3">
        <v>0.5</v>
      </c>
      <c r="D3" t="s">
        <v>83</v>
      </c>
      <c r="E3">
        <v>1</v>
      </c>
      <c r="G3" t="s">
        <v>83</v>
      </c>
      <c r="H3">
        <v>1.5</v>
      </c>
      <c r="J3" t="s">
        <v>83</v>
      </c>
      <c r="K3">
        <v>2</v>
      </c>
      <c r="M3" s="26" t="s">
        <v>101</v>
      </c>
      <c r="N3" s="26" t="s">
        <v>102</v>
      </c>
      <c r="O3" s="26" t="s">
        <v>83</v>
      </c>
    </row>
    <row r="4" spans="1:47" x14ac:dyDescent="0.25">
      <c r="A4" s="3" t="s">
        <v>124</v>
      </c>
      <c r="B4" s="3" t="s">
        <v>125</v>
      </c>
      <c r="D4" s="3" t="s">
        <v>91</v>
      </c>
      <c r="E4" s="3" t="s">
        <v>92</v>
      </c>
      <c r="F4" s="3"/>
      <c r="G4" s="3" t="s">
        <v>91</v>
      </c>
      <c r="H4" s="3" t="s">
        <v>92</v>
      </c>
      <c r="I4" s="3"/>
      <c r="J4" s="3" t="s">
        <v>91</v>
      </c>
      <c r="K4" s="3" t="s">
        <v>92</v>
      </c>
      <c r="M4" s="30">
        <f>ANALISI!C50</f>
        <v>2.6</v>
      </c>
      <c r="N4" s="27" cm="1">
        <f t="array" ref="N4">GetEfficienza(B$2,O4,M4)</f>
        <v>0.67704653368499113</v>
      </c>
      <c r="O4" s="27">
        <v>0.5</v>
      </c>
    </row>
    <row r="5" spans="1:47" x14ac:dyDescent="0.25">
      <c r="A5" s="29">
        <v>0.61</v>
      </c>
      <c r="B5" cm="1">
        <f t="array" ref="B5">GetEfficienza(B$2,B$3,A5)</f>
        <v>0.99471154668732009</v>
      </c>
      <c r="D5" s="29">
        <v>0.49981325199999999</v>
      </c>
      <c r="E5" cm="1">
        <f t="array" ref="E5">GetEfficienza(E$2,E$3,D5)</f>
        <v>0.96197395878870628</v>
      </c>
      <c r="G5" s="29">
        <v>0.50406493799999996</v>
      </c>
      <c r="H5" cm="1">
        <f t="array" ref="H5">GetEfficienza(H$2,H$3,G5)</f>
        <v>0.64360800860497436</v>
      </c>
      <c r="J5" s="29">
        <v>0.48638423200000003</v>
      </c>
      <c r="K5" cm="1">
        <f t="array" ref="K5">GetEfficienza(K$2,K$3,J5)</f>
        <v>0.48255498150184201</v>
      </c>
      <c r="M5" s="28">
        <f>M4</f>
        <v>2.6</v>
      </c>
      <c r="N5" s="28" cm="1">
        <f t="array" ref="N5">GetEfficienza(B$2,O5,M5)</f>
        <v>0.59234943549157848</v>
      </c>
      <c r="O5" s="28">
        <v>1</v>
      </c>
    </row>
    <row r="6" spans="1:47" x14ac:dyDescent="0.25">
      <c r="A6" s="29">
        <v>0.82716787199999997</v>
      </c>
      <c r="B6" cm="1">
        <f t="array" ref="B6">GetEfficienza(B$2,B$3,A6)</f>
        <v>0.97993600970103256</v>
      </c>
      <c r="D6" s="29">
        <v>0.687504055</v>
      </c>
      <c r="E6" cm="1">
        <f t="array" ref="E6">GetEfficienza(E$2,E$3,D6)</f>
        <v>0.92802898944787238</v>
      </c>
      <c r="G6" s="29">
        <v>0.64438851399999997</v>
      </c>
      <c r="H6" cm="1">
        <f t="array" ref="H6">GetEfficienza(H$2,H$3,G6)</f>
        <v>0.62622505505411008</v>
      </c>
      <c r="J6" s="29">
        <v>0.64417342</v>
      </c>
      <c r="K6" cm="1">
        <f t="array" ref="K6">GetEfficienza(K$2,K$3,J6)</f>
        <v>0.46938196352689499</v>
      </c>
      <c r="M6" s="30">
        <f>M5</f>
        <v>2.6</v>
      </c>
      <c r="N6" s="27" cm="1">
        <f t="array" ref="N6">GetEfficienza(B$2,O6,M6)</f>
        <v>0.39425060377796184</v>
      </c>
      <c r="O6" s="27">
        <v>1.5</v>
      </c>
    </row>
    <row r="7" spans="1:47" x14ac:dyDescent="0.25">
      <c r="A7" s="29">
        <v>0.98206114</v>
      </c>
      <c r="B7" cm="1">
        <f t="array" ref="B7">GetEfficienza(B$2,B$3,A7)</f>
        <v>0.96604198500577487</v>
      </c>
      <c r="D7" s="29">
        <v>0.84623965599999995</v>
      </c>
      <c r="E7" cm="1">
        <f t="array" ref="E7">GetEfficienza(E$2,E$3,D7)</f>
        <v>0.89766306406029572</v>
      </c>
      <c r="G7" s="29">
        <v>0.85141266000000004</v>
      </c>
      <c r="H7" cm="1">
        <f t="array" ref="H7">GetEfficienza(H$2,H$3,G7)</f>
        <v>0.60274804179144681</v>
      </c>
      <c r="J7" s="29">
        <v>0.79756752600000003</v>
      </c>
      <c r="K7" cm="1">
        <f t="array" ref="K7">GetEfficienza(K$2,K$3,J7)</f>
        <v>0.4556770433588414</v>
      </c>
      <c r="M7" s="28">
        <f>M5</f>
        <v>2.6</v>
      </c>
      <c r="N7" s="28" cm="1">
        <f t="array" ref="N7">GetEfficienza(B$2,O7,M7)</f>
        <v>0.29513249238601003</v>
      </c>
      <c r="O7" s="28">
        <v>2</v>
      </c>
    </row>
    <row r="8" spans="1:47" x14ac:dyDescent="0.25">
      <c r="A8" s="29">
        <v>1.176123743</v>
      </c>
      <c r="B8" cm="1">
        <f t="array" ref="B8">GetEfficienza(B$2,B$3,A8)</f>
        <v>0.94057103941785214</v>
      </c>
      <c r="D8" s="29">
        <v>1.011610898</v>
      </c>
      <c r="E8" cm="1">
        <f t="array" ref="E8">GetEfficienza(E$2,E$3,D8)</f>
        <v>0.86731301918963155</v>
      </c>
      <c r="G8" s="29">
        <v>1.0408277990000001</v>
      </c>
      <c r="H8" cm="1">
        <f t="array" ref="H8">GetEfficienza(H$2,H$3,G8)</f>
        <v>0.57766602695921232</v>
      </c>
      <c r="J8" s="29">
        <v>1.079967691</v>
      </c>
      <c r="K8" cm="1">
        <f t="array" ref="K8">GetEfficienza(K$2,K$3,J8)</f>
        <v>0.42925302920880049</v>
      </c>
      <c r="M8" s="25"/>
      <c r="N8" s="25"/>
    </row>
    <row r="9" spans="1:47" x14ac:dyDescent="0.25">
      <c r="A9" s="29">
        <v>1.4039945410000001</v>
      </c>
      <c r="B9" cm="1">
        <f t="array" ref="B9">GetEfficienza(B$2,B$3,A9)</f>
        <v>0.90091908797867148</v>
      </c>
      <c r="D9" s="29">
        <v>1.2106192179999999</v>
      </c>
      <c r="E9" cm="1">
        <f t="array" ref="E9">GetEfficienza(E$2,E$3,D9)</f>
        <v>0.82870495827299395</v>
      </c>
      <c r="G9" s="29">
        <v>1.270314902</v>
      </c>
      <c r="H9" cm="1">
        <f t="array" ref="H9">GetEfficienza(H$2,H$3,G9)</f>
        <v>0.54798901245398435</v>
      </c>
      <c r="J9" s="29">
        <v>1.364637095</v>
      </c>
      <c r="K9" cm="1">
        <f t="array" ref="K9">GetEfficienza(K$2,K$3,J9)</f>
        <v>0.40179199044992275</v>
      </c>
      <c r="M9" s="25"/>
      <c r="N9" s="25"/>
    </row>
    <row r="10" spans="1:47" x14ac:dyDescent="0.25">
      <c r="A10" s="29">
        <v>1.65445171</v>
      </c>
      <c r="B10" cm="1">
        <f t="array" ref="B10">GetEfficienza(B$2,B$3,A10)</f>
        <v>0.85094705773027812</v>
      </c>
      <c r="D10" s="29">
        <v>1.45650722</v>
      </c>
      <c r="E10" cm="1">
        <f t="array" ref="E10">GetEfficienza(E$2,E$3,D10)</f>
        <v>0.78239295690590738</v>
      </c>
      <c r="G10" s="29">
        <v>1.5265166489999999</v>
      </c>
      <c r="H10" cm="1">
        <f t="array" ref="H10">GetEfficienza(H$2,H$3,G10)</f>
        <v>0.51524904522145154</v>
      </c>
      <c r="J10" s="29">
        <v>1.604868132</v>
      </c>
      <c r="K10" cm="1">
        <f t="array" ref="K10">GetEfficienza(K$2,K$3,J10)</f>
        <v>0.37787198779773618</v>
      </c>
      <c r="M10" s="25"/>
      <c r="N10" s="25"/>
    </row>
    <row r="11" spans="1:47" x14ac:dyDescent="0.25">
      <c r="A11" s="29">
        <v>1.882607959</v>
      </c>
      <c r="B11" cm="1">
        <f t="array" ref="B11">GetEfficienza(B$2,B$3,A11)</f>
        <v>0.80610800817619221</v>
      </c>
      <c r="D11" s="29">
        <v>1.664477779</v>
      </c>
      <c r="E11" cm="1">
        <f t="array" ref="E11">GetEfficienza(E$2,E$3,D11)</f>
        <v>0.74172303968395703</v>
      </c>
      <c r="G11" s="29">
        <v>1.796075718</v>
      </c>
      <c r="H11" cm="1">
        <f t="array" ref="H11">GetEfficienza(H$2,H$3,G11)</f>
        <v>0.48097803448392412</v>
      </c>
      <c r="J11" s="29">
        <v>1.8449270929999999</v>
      </c>
      <c r="K11" cm="1">
        <f t="array" ref="K11">GetEfficienza(K$2,K$3,J11)</f>
        <v>0.35707899179192565</v>
      </c>
      <c r="M11" s="25"/>
      <c r="N11" s="25"/>
    </row>
    <row r="12" spans="1:47" x14ac:dyDescent="0.25">
      <c r="A12" s="29">
        <v>2.1219146680000001</v>
      </c>
      <c r="B12" cm="1">
        <f t="array" ref="B12">GetEfficienza(B$2,B$3,A12)</f>
        <v>0.75870306198701021</v>
      </c>
      <c r="D12" s="29">
        <v>1.854265746</v>
      </c>
      <c r="E12" cm="1">
        <f t="array" ref="E12">GetEfficienza(E$2,E$3,D12)</f>
        <v>0.70986804401627768</v>
      </c>
      <c r="G12" s="29">
        <v>1.9987047819999999</v>
      </c>
      <c r="H12" cm="1">
        <f t="array" ref="H12">GetEfficienza(H$2,H$3,G12)</f>
        <v>0.45696902548769464</v>
      </c>
      <c r="J12" s="29">
        <v>2.1272698999999999</v>
      </c>
      <c r="K12" cm="1">
        <f t="array" ref="K12">GetEfficienza(K$2,K$3,J12)</f>
        <v>0.33169600824709322</v>
      </c>
      <c r="M12" s="25"/>
      <c r="N12" s="25"/>
    </row>
    <row r="13" spans="1:47" x14ac:dyDescent="0.25">
      <c r="A13" s="29">
        <v>2.2950255570000002</v>
      </c>
      <c r="B13" cm="1">
        <f t="array" ref="B13">GetEfficienza(B$2,B$3,A13)</f>
        <v>0.72774407912566585</v>
      </c>
      <c r="D13" s="29">
        <v>2.0687859099999999</v>
      </c>
      <c r="E13" cm="1">
        <f t="array" ref="E13">GetEfficienza(E$2,E$3,D13)</f>
        <v>0.67077601570892131</v>
      </c>
      <c r="G13" s="29">
        <v>2.2391365730000001</v>
      </c>
      <c r="H13" cm="1">
        <f t="array" ref="H13">GetEfficienza(H$2,H$3,G13)</f>
        <v>0.42940304669201246</v>
      </c>
      <c r="J13" s="29">
        <v>2.3449806209999999</v>
      </c>
      <c r="K13" cm="1">
        <f t="array" ref="K13">GetEfficienza(K$2,K$3,J13)</f>
        <v>0.31501902940590959</v>
      </c>
      <c r="M13" s="25"/>
      <c r="N13" s="25"/>
    </row>
    <row r="14" spans="1:47" x14ac:dyDescent="0.25">
      <c r="A14" s="29">
        <v>2.4455753489999998</v>
      </c>
      <c r="B14" cm="1">
        <f t="array" ref="B14">GetEfficienza(B$2,B$3,A14)</f>
        <v>0.70108894154989687</v>
      </c>
      <c r="D14" s="29">
        <v>2.2629402810000001</v>
      </c>
      <c r="E14" cm="1">
        <f t="array" ref="E14">GetEfficienza(E$2,E$3,D14)</f>
        <v>0.63997295816673982</v>
      </c>
      <c r="G14" s="29">
        <v>2.4326886810000001</v>
      </c>
      <c r="H14" cm="1">
        <f t="array" ref="H14">GetEfficienza(H$2,H$3,G14)</f>
        <v>0.40954103058340463</v>
      </c>
      <c r="J14" s="29">
        <v>2.5627200210000001</v>
      </c>
      <c r="K14" cm="1">
        <f t="array" ref="K14">GetEfficienza(K$2,K$3,J14)</f>
        <v>0.29781999844710783</v>
      </c>
    </row>
    <row r="15" spans="1:47" x14ac:dyDescent="0.25">
      <c r="A15" s="29">
        <v>2.6229296070000001</v>
      </c>
      <c r="B15" cm="1">
        <f t="array" ref="B15">GetEfficienza(B$2,B$3,A15)</f>
        <v>0.67359805925453842</v>
      </c>
      <c r="D15" s="29">
        <v>2.4725491370000001</v>
      </c>
      <c r="E15" cm="1">
        <f t="array" ref="E15">GetEfficienza(E$2,E$3,D15)</f>
        <v>0.60972798094442548</v>
      </c>
      <c r="G15" s="29">
        <v>2.6861336429999998</v>
      </c>
      <c r="H15" cm="1">
        <f t="array" ref="H15">GetEfficienza(H$2,H$3,G15)</f>
        <v>0.38669503124927618</v>
      </c>
      <c r="J15" s="29">
        <v>2.7914041080000001</v>
      </c>
      <c r="K15" cm="1">
        <f t="array" ref="K15">GetEfficienza(K$2,K$3,J15)</f>
        <v>0.28273099329179946</v>
      </c>
    </row>
    <row r="16" spans="1:47" x14ac:dyDescent="0.25">
      <c r="A16" s="29">
        <v>2.8117998129999999</v>
      </c>
      <c r="B16" cm="1">
        <f t="array" ref="B16">GetEfficienza(B$2,B$3,A16)</f>
        <v>0.64523402706069688</v>
      </c>
      <c r="D16" s="29">
        <v>2.7110271589999999</v>
      </c>
      <c r="E16" cm="1">
        <f t="array" ref="E16">GetEfficienza(E$2,E$3,D16)</f>
        <v>0.57746697865022267</v>
      </c>
      <c r="G16" s="29">
        <v>2.923952044</v>
      </c>
      <c r="H16" cm="1">
        <f t="array" ref="H16">GetEfficienza(H$2,H$3,G16)</f>
        <v>0.36641799646941642</v>
      </c>
      <c r="J16" s="29">
        <v>3.0599880850000001</v>
      </c>
      <c r="K16" cm="1">
        <f t="array" ref="K16">GetEfficienza(K$2,K$3,J16)</f>
        <v>0.26617399486231341</v>
      </c>
    </row>
    <row r="17" spans="1:11" x14ac:dyDescent="0.25">
      <c r="A17" s="29">
        <v>3.0506054950000001</v>
      </c>
      <c r="B17" cm="1">
        <f t="array" ref="B17">GetEfficienza(B$2,B$3,A17)</f>
        <v>0.61248593315001587</v>
      </c>
      <c r="D17" s="29">
        <v>2.9583813839999999</v>
      </c>
      <c r="E17" cm="1">
        <f t="array" ref="E17">GetEfficienza(E$2,E$3,D17)</f>
        <v>0.54470695126996704</v>
      </c>
      <c r="G17" s="29">
        <v>3.2060940969999998</v>
      </c>
      <c r="H17" cm="1">
        <f t="array" ref="H17">GetEfficienza(H$2,H$3,G17)</f>
        <v>0.34468199225363194</v>
      </c>
      <c r="J17" s="29">
        <v>3.421757843</v>
      </c>
      <c r="K17" cm="1">
        <f t="array" ref="K17">GetEfficienza(K$2,K$3,J17)</f>
        <v>0.24462800948179872</v>
      </c>
    </row>
    <row r="18" spans="1:11" x14ac:dyDescent="0.25">
      <c r="A18" s="29">
        <v>3.2585863499999999</v>
      </c>
      <c r="B18" cm="1">
        <f t="array" ref="B18">GetEfficienza(B$2,B$3,A18)</f>
        <v>0.58416695260586826</v>
      </c>
      <c r="D18" s="29">
        <v>3.1810894489999999</v>
      </c>
      <c r="E18" cm="1">
        <f t="array" ref="E18">GetEfficienza(E$2,E$3,D18)</f>
        <v>0.51761894638297001</v>
      </c>
      <c r="G18" s="29">
        <v>3.5371843169999999</v>
      </c>
      <c r="H18" cm="1">
        <f t="array" ref="H18">GetEfficienza(H$2,H$3,G18)</f>
        <v>0.31785297685824954</v>
      </c>
      <c r="J18" s="29">
        <v>3.6947082230000001</v>
      </c>
      <c r="K18" cm="1">
        <f t="array" ref="K18">GetEfficienza(K$2,K$3,J18)</f>
        <v>0.22912398936584707</v>
      </c>
    </row>
    <row r="19" spans="1:11" x14ac:dyDescent="0.25">
      <c r="A19" s="29">
        <v>3.451080455</v>
      </c>
      <c r="B19" cm="1">
        <f t="array" ref="B19">GetEfficienza(B$2,B$3,A19)</f>
        <v>0.55941294659166296</v>
      </c>
      <c r="D19" s="29">
        <v>3.4771910859999999</v>
      </c>
      <c r="E19" cm="1">
        <f t="array" ref="E19">GetEfficienza(E$2,E$3,D19)</f>
        <v>0.48341099082908356</v>
      </c>
      <c r="G19" s="29">
        <v>3.9367281219999999</v>
      </c>
      <c r="H19" cm="1">
        <f t="array" ref="H19">GetEfficienza(H$2,H$3,G19)</f>
        <v>0.29326999275638221</v>
      </c>
      <c r="J19" s="29">
        <v>4.00732906</v>
      </c>
      <c r="K19" cm="1">
        <f t="array" ref="K19">GetEfficienza(K$2,K$3,J19)</f>
        <v>0.21631899734368562</v>
      </c>
    </row>
    <row r="20" spans="1:11" x14ac:dyDescent="0.25">
      <c r="A20" s="29">
        <v>3.627988695</v>
      </c>
      <c r="B20" cm="1">
        <f t="array" ref="B20">GetEfficienza(B$2,B$3,A20)</f>
        <v>0.54002503305218164</v>
      </c>
      <c r="D20" s="29">
        <v>3.8286184200000002</v>
      </c>
      <c r="E20" cm="1">
        <f t="array" ref="E20">GetEfficienza(E$2,E$3,D20)</f>
        <v>0.44881395860821516</v>
      </c>
      <c r="G20" s="29">
        <v>4.2896790359999999</v>
      </c>
      <c r="H20" cm="1">
        <f t="array" ref="H20">GetEfficienza(H$2,H$3,G20)</f>
        <v>0.27118199774411483</v>
      </c>
      <c r="J20" s="29">
        <v>4.3245457329999999</v>
      </c>
      <c r="K20" cm="1">
        <f t="array" ref="K20">GetEfficienza(K$2,K$3,J20)</f>
        <v>0.20039801294378665</v>
      </c>
    </row>
    <row r="21" spans="1:11" x14ac:dyDescent="0.25">
      <c r="A21" s="29">
        <v>3.9779830450000002</v>
      </c>
      <c r="B21" cm="1">
        <f t="array" ref="B21">GetEfficienza(B$2,B$3,A21)</f>
        <v>0.50123799526732415</v>
      </c>
      <c r="D21" s="29">
        <v>4.064397016</v>
      </c>
      <c r="E21" cm="1">
        <f t="array" ref="E21">GetEfficienza(E$2,E$3,D21)</f>
        <v>0.42540499847822338</v>
      </c>
      <c r="G21" s="29">
        <v>4.5981629030000004</v>
      </c>
      <c r="H21" cm="1">
        <f t="array" ref="H21">GetEfficienza(H$2,H$3,G21)</f>
        <v>0.25315600510551434</v>
      </c>
      <c r="J21" s="29">
        <v>4.6083547620000003</v>
      </c>
      <c r="K21" cm="1">
        <f t="array" ref="K21">GetEfficienza(K$2,K$3,J21)</f>
        <v>0.18856700867710169</v>
      </c>
    </row>
    <row r="22" spans="1:11" x14ac:dyDescent="0.25">
      <c r="A22" s="29">
        <v>4.2585843670000001</v>
      </c>
      <c r="B22" cm="1">
        <f t="array" ref="B22">GetEfficienza(B$2,B$3,A22)</f>
        <v>0.47309196271043541</v>
      </c>
      <c r="D22" s="29">
        <v>4.3666754279999997</v>
      </c>
      <c r="E22" cm="1">
        <f t="array" ref="E22">GetEfficienza(E$2,E$3,D22)</f>
        <v>0.39954896660466271</v>
      </c>
      <c r="G22" s="29">
        <v>4.8909341719999997</v>
      </c>
      <c r="H22" cm="1">
        <f t="array" ref="H22">GetEfficienza(H$2,H$3,G22)</f>
        <v>0.23926199241522492</v>
      </c>
      <c r="J22" s="29">
        <v>4.9407964880000002</v>
      </c>
      <c r="K22" cm="1">
        <f t="array" ref="K22">GetEfficienza(K$2,K$3,J22)</f>
        <v>0.17737298419294337</v>
      </c>
    </row>
    <row r="23" spans="1:11" x14ac:dyDescent="0.25">
      <c r="A23" s="29">
        <v>4.4430873100000001</v>
      </c>
      <c r="B23" cm="1">
        <f t="array" ref="B23">GetEfficienza(B$2,B$3,A23)</f>
        <v>0.4546219714183265</v>
      </c>
      <c r="D23" s="29">
        <v>4.6732055270000004</v>
      </c>
      <c r="E23" cm="1">
        <f t="array" ref="E23">GetEfficienza(E$2,E$3,D23)</f>
        <v>0.3768290339757443</v>
      </c>
      <c r="G23" s="29">
        <v>5.1902550459999999</v>
      </c>
      <c r="H23" cm="1">
        <f t="array" ref="H23">GetEfficienza(H$2,H$3,G23)</f>
        <v>0.22694699830673004</v>
      </c>
      <c r="J23" s="29">
        <v>5.251033369</v>
      </c>
      <c r="K23" cm="1">
        <f t="array" ref="K23">GetEfficienza(K$2,K$3,J23)</f>
        <v>0.1676889894275829</v>
      </c>
    </row>
    <row r="24" spans="1:11" x14ac:dyDescent="0.25">
      <c r="A24" s="29">
        <v>4.6696336799999996</v>
      </c>
      <c r="B24" cm="1">
        <f t="array" ref="B24">GetEfficienza(B$2,B$3,A24)</f>
        <v>0.43625202446113792</v>
      </c>
      <c r="D24" s="29">
        <v>4.9818901479999997</v>
      </c>
      <c r="E24" cm="1">
        <f t="array" ref="E24">GetEfficienza(E$2,E$3,D24)</f>
        <v>0.35515698998938028</v>
      </c>
      <c r="G24" s="29">
        <v>5.4982800459999996</v>
      </c>
      <c r="H24" cm="1">
        <f t="array" ref="H24">GetEfficienza(H$2,H$3,G24)</f>
        <v>0.21725799877535301</v>
      </c>
      <c r="J24" s="29">
        <v>5.5988148640000004</v>
      </c>
      <c r="K24" cm="1">
        <f t="array" ref="K24">GetEfficienza(K$2,K$3,J24)</f>
        <v>0.15913600284292526</v>
      </c>
    </row>
    <row r="25" spans="1:11" x14ac:dyDescent="0.25">
      <c r="A25" s="29">
        <v>4.9345004640000001</v>
      </c>
      <c r="B25" cm="1">
        <f t="array" ref="B25">GetEfficienza(B$2,B$3,A25)</f>
        <v>0.4161719663945998</v>
      </c>
      <c r="D25" s="29">
        <v>5.3126362179999997</v>
      </c>
      <c r="E25" cm="1">
        <f t="array" ref="E25">GetEfficienza(E$2,E$3,D25)</f>
        <v>0.33457898798002939</v>
      </c>
      <c r="G25" s="29">
        <v>5.806247688</v>
      </c>
      <c r="H25" cm="1">
        <f t="array" ref="H25">GetEfficienza(H$2,H$3,G25)</f>
        <v>0.2086100110155219</v>
      </c>
      <c r="J25" s="29">
        <v>5.8268966879999997</v>
      </c>
      <c r="K25" cm="1">
        <f t="array" ref="K25">GetEfficienza(K$2,K$3,J25)</f>
        <v>0.15498900465366267</v>
      </c>
    </row>
    <row r="26" spans="1:11" x14ac:dyDescent="0.25">
      <c r="A26" s="29">
        <v>5.157076032</v>
      </c>
      <c r="B26" cm="1">
        <f t="array" ref="B26">GetEfficienza(B$2,B$3,A26)</f>
        <v>0.40049399770788607</v>
      </c>
      <c r="D26" s="29">
        <v>5.6054361659999996</v>
      </c>
      <c r="E26" cm="1">
        <f t="array" ref="E26">GetEfficienza(E$2,E$3,D26)</f>
        <v>0.32016399250445893</v>
      </c>
      <c r="G26" s="29">
        <v>5.9458000000000002</v>
      </c>
      <c r="H26" cm="1">
        <f t="array" ref="H26">GetEfficienza(H$2,H$3,G26)</f>
        <v>0.20269609004217509</v>
      </c>
      <c r="J26" s="29">
        <v>5.9685717690000004</v>
      </c>
      <c r="K26" cm="1">
        <f t="array" ref="K26">GetEfficienza(K$2,K$3,J26)</f>
        <v>0.15324100220615733</v>
      </c>
    </row>
    <row r="27" spans="1:11" x14ac:dyDescent="0.25">
      <c r="A27" s="29">
        <v>5.4717296199999996</v>
      </c>
      <c r="B27" cm="1">
        <f t="array" ref="B27">GetEfficienza(B$2,B$3,A27)</f>
        <v>0.37873102206482628</v>
      </c>
      <c r="D27" s="29">
        <v>5.8626452689999997</v>
      </c>
      <c r="E27" cm="1">
        <f t="array" ref="E27">GetEfficienza(E$2,E$3,D27)</f>
        <v>0.30931098970965532</v>
      </c>
    </row>
    <row r="28" spans="1:11" x14ac:dyDescent="0.25">
      <c r="A28" s="29">
        <v>5.7860363039999996</v>
      </c>
      <c r="B28" cm="1">
        <f t="array" ref="B28">GetEfficienza(B$2,B$3,A28)</f>
        <v>0.36327098445156281</v>
      </c>
      <c r="D28" s="29">
        <v>5.9712568560000001</v>
      </c>
      <c r="E28" cm="1">
        <f t="array" ref="E28">GetEfficienza(E$2,E$3,D28)</f>
        <v>0.30540100483409915</v>
      </c>
    </row>
    <row r="29" spans="1:11" x14ac:dyDescent="0.25">
      <c r="A29" s="29">
        <v>5.9317728140000003</v>
      </c>
      <c r="B29" cm="1">
        <f t="array" ref="B29">GetEfficienza(B$2,B$3,A29)</f>
        <v>0.35461301302005793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D040-1210-4908-99C1-970D0CB7860A}">
  <sheetPr codeName="Foglio6">
    <pageSetUpPr fitToPage="1"/>
  </sheetPr>
  <dimension ref="A1:AO33"/>
  <sheetViews>
    <sheetView workbookViewId="0">
      <selection activeCell="T15" sqref="T15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1" t="s">
        <v>90</v>
      </c>
      <c r="B1" s="41"/>
      <c r="C1" s="41"/>
      <c r="D1" s="41"/>
      <c r="E1" s="41"/>
      <c r="F1" s="41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123</v>
      </c>
      <c r="B2">
        <v>1</v>
      </c>
      <c r="D2" t="s">
        <v>123</v>
      </c>
      <c r="E2">
        <v>1</v>
      </c>
      <c r="G2" s="42" t="s">
        <v>126</v>
      </c>
      <c r="H2" s="42"/>
    </row>
    <row r="3" spans="1:41" x14ac:dyDescent="0.25">
      <c r="A3" t="s">
        <v>83</v>
      </c>
      <c r="B3">
        <v>0.5</v>
      </c>
      <c r="D3" t="s">
        <v>83</v>
      </c>
      <c r="E3">
        <v>1</v>
      </c>
      <c r="G3" s="26" t="s">
        <v>101</v>
      </c>
      <c r="H3" s="26" t="s">
        <v>102</v>
      </c>
      <c r="I3" s="26" t="s">
        <v>83</v>
      </c>
    </row>
    <row r="4" spans="1:41" x14ac:dyDescent="0.25">
      <c r="A4" s="3" t="s">
        <v>124</v>
      </c>
      <c r="B4" s="15" t="s">
        <v>87</v>
      </c>
      <c r="D4" s="3" t="s">
        <v>124</v>
      </c>
      <c r="E4" s="15" t="s">
        <v>87</v>
      </c>
      <c r="G4" s="27">
        <f>ANALISI!C50</f>
        <v>2.6</v>
      </c>
      <c r="H4" s="27" cm="1">
        <f t="array" ref="H4">gett("T50",E$2,I$4,G4)</f>
        <v>7.6068952389001604E-2</v>
      </c>
      <c r="I4" s="27">
        <v>0.5</v>
      </c>
    </row>
    <row r="5" spans="1:41" x14ac:dyDescent="0.25">
      <c r="A5">
        <v>0.50243723600000001</v>
      </c>
      <c r="B5" cm="1">
        <f t="array" ref="B5">gett("T50",B$2,B$3,A5)</f>
        <v>1.3777369801556722E-3</v>
      </c>
      <c r="D5">
        <v>0.50801507800000001</v>
      </c>
      <c r="E5" cm="1">
        <f t="array" ref="E5">gett("T50",E$2,E$3,D5)</f>
        <v>1.2932937242348585E-3</v>
      </c>
      <c r="G5" s="28">
        <f>G4</f>
        <v>2.6</v>
      </c>
      <c r="H5" s="28" cm="1">
        <f t="array" ref="H5">gett("T50",E$2,I$5,G5)</f>
        <v>5.4055500318714707E-2</v>
      </c>
      <c r="I5" s="28">
        <v>1</v>
      </c>
    </row>
    <row r="6" spans="1:41" x14ac:dyDescent="0.25">
      <c r="A6">
        <v>0.51179327600000002</v>
      </c>
      <c r="B6" cm="1">
        <f t="array" ref="B6">gett("T50",B$2,B$3,A6)</f>
        <v>2.0332480177639822E-3</v>
      </c>
      <c r="D6">
        <v>0.51768684499999995</v>
      </c>
      <c r="E6" cm="1">
        <f t="array" ref="E6">gett("T50",E$2,E$3,D6)</f>
        <v>1.743533172236255E-3</v>
      </c>
      <c r="G6" s="25"/>
      <c r="H6" s="25"/>
    </row>
    <row r="7" spans="1:41" x14ac:dyDescent="0.25">
      <c r="A7">
        <v>0.53186298200000004</v>
      </c>
      <c r="B7" cm="1">
        <f t="array" ref="B7">gett("T50",B$2,B$3,A7)</f>
        <v>3.0011593564160466E-3</v>
      </c>
      <c r="D7">
        <v>0.56431970499999995</v>
      </c>
      <c r="E7" cm="1">
        <f t="array" ref="E7">gett("T50",E$2,E$3,D7)</f>
        <v>2.7430269738905112E-3</v>
      </c>
      <c r="G7" s="25"/>
      <c r="H7" s="25"/>
    </row>
    <row r="8" spans="1:41" x14ac:dyDescent="0.25">
      <c r="A8">
        <v>0.58397896599999999</v>
      </c>
      <c r="B8" cm="1">
        <f t="array" ref="B8">gett("T50",B$2,B$3,A8)</f>
        <v>4.5541890604395858E-3</v>
      </c>
      <c r="D8">
        <v>0.62724407299999996</v>
      </c>
      <c r="E8" cm="1">
        <f t="array" ref="E8">gett("T50",E$2,E$3,D8)</f>
        <v>4.0517518549360674E-3</v>
      </c>
      <c r="G8" s="25"/>
      <c r="H8" s="25"/>
    </row>
    <row r="9" spans="1:41" x14ac:dyDescent="0.25">
      <c r="A9">
        <v>0.64699805099999996</v>
      </c>
      <c r="B9" cm="1">
        <f t="array" ref="B9">gett("T50",B$2,B$3,A9)</f>
        <v>6.5469116998444462E-3</v>
      </c>
      <c r="D9">
        <v>0.71169048899999998</v>
      </c>
      <c r="E9" cm="1">
        <f t="array" ref="E9">gett("T50",E$2,E$3,D9)</f>
        <v>5.8266998902486086E-3</v>
      </c>
      <c r="G9" s="25"/>
      <c r="H9" s="25"/>
    </row>
    <row r="10" spans="1:41" x14ac:dyDescent="0.25">
      <c r="A10">
        <v>0.73680130099999996</v>
      </c>
      <c r="B10" cm="1">
        <f t="array" ref="B10">gett("T50",B$2,B$3,A10)</f>
        <v>9.4157497000774242E-3</v>
      </c>
      <c r="D10">
        <v>0.80694529000000004</v>
      </c>
      <c r="E10" cm="1">
        <f t="array" ref="E10">gett("T50",E$2,E$3,D10)</f>
        <v>8.1562678145576922E-3</v>
      </c>
      <c r="G10" s="25"/>
      <c r="H10" s="25"/>
    </row>
    <row r="11" spans="1:41" x14ac:dyDescent="0.25">
      <c r="A11">
        <v>0.91174556600000001</v>
      </c>
      <c r="B11" cm="1">
        <f t="array" ref="B11">gett("T50",B$2,B$3,A11)</f>
        <v>1.5959231995474554E-2</v>
      </c>
      <c r="D11">
        <v>0.98214213699999997</v>
      </c>
      <c r="E11" cm="1">
        <f t="array" ref="E11">gett("T50",E$2,E$3,D11)</f>
        <v>1.2859293758908787E-2</v>
      </c>
      <c r="G11" s="25"/>
      <c r="H11" s="25"/>
    </row>
    <row r="12" spans="1:41" x14ac:dyDescent="0.25">
      <c r="A12">
        <v>1.0499497470000001</v>
      </c>
      <c r="B12" cm="1">
        <f t="array" ref="B12">gett("T50",B$2,B$3,A12)</f>
        <v>2.1757199731036403E-2</v>
      </c>
      <c r="D12">
        <v>1.2057083420000001</v>
      </c>
      <c r="E12" cm="1">
        <f t="array" ref="E12">gett("T50",E$2,E$3,D12)</f>
        <v>1.9393000165963035E-2</v>
      </c>
      <c r="G12" s="25"/>
      <c r="H12" s="25"/>
    </row>
    <row r="13" spans="1:41" x14ac:dyDescent="0.25">
      <c r="A13">
        <v>1.2151275269999999</v>
      </c>
      <c r="B13" cm="1">
        <f t="array" ref="B13">gett("T50",B$2,B$3,A13)</f>
        <v>2.8106871470099271E-2</v>
      </c>
      <c r="D13">
        <v>1.4456923450000001</v>
      </c>
      <c r="E13" cm="1">
        <f t="array" ref="E13">gett("T50",E$2,E$3,D13)</f>
        <v>2.6483110658622071E-2</v>
      </c>
      <c r="G13" s="25"/>
      <c r="H13" s="25"/>
    </row>
    <row r="14" spans="1:41" x14ac:dyDescent="0.25">
      <c r="A14">
        <v>1.407089472</v>
      </c>
      <c r="B14" cm="1">
        <f t="array" ref="B14">gett("T50",B$2,B$3,A14)</f>
        <v>3.6325830892798242E-2</v>
      </c>
      <c r="D14">
        <v>1.6484942460000001</v>
      </c>
      <c r="E14" cm="1">
        <f t="array" ref="E14">gett("T50",E$2,E$3,D14)</f>
        <v>3.3016597743903225E-2</v>
      </c>
    </row>
    <row r="15" spans="1:41" x14ac:dyDescent="0.25">
      <c r="A15">
        <v>1.6045661120000001</v>
      </c>
      <c r="B15" cm="1">
        <f t="array" ref="B15">gett("T50",B$2,B$3,A15)</f>
        <v>4.4875684810075589E-2</v>
      </c>
      <c r="D15">
        <v>1.910284452</v>
      </c>
      <c r="E15" cm="1">
        <f t="array" ref="E15">gett("T50",E$2,E$3,D15)</f>
        <v>4.0463392199980019E-2</v>
      </c>
    </row>
    <row r="16" spans="1:41" x14ac:dyDescent="0.25">
      <c r="A16">
        <v>1.8182079689999999</v>
      </c>
      <c r="B16" cm="1">
        <f t="array" ref="B16">gett("T50",B$2,B$3,A16)</f>
        <v>5.3967898726014568E-2</v>
      </c>
      <c r="D16">
        <v>2.1294725780000001</v>
      </c>
      <c r="E16" cm="1">
        <f t="array" ref="E16">gett("T50",E$2,E$3,D16)</f>
        <v>4.6094680556856962E-2</v>
      </c>
    </row>
    <row r="17" spans="1:5" x14ac:dyDescent="0.25">
      <c r="A17">
        <v>2.3850534890000001</v>
      </c>
      <c r="B17" cm="1">
        <f t="array" ref="B17">gett("T50",B$2,B$3,A17)</f>
        <v>7.2115140748764059E-2</v>
      </c>
      <c r="D17">
        <v>2.3809279910000001</v>
      </c>
      <c r="E17" cm="1">
        <f t="array" ref="E17">gett("T50",E$2,E$3,D17)</f>
        <v>5.0670479851745741E-2</v>
      </c>
    </row>
    <row r="18" spans="1:5" x14ac:dyDescent="0.25">
      <c r="A18">
        <v>2.7490655359999998</v>
      </c>
      <c r="B18" cm="1">
        <f t="array" ref="B18">gett("T50",B$2,B$3,A18)</f>
        <v>7.7997874883855289E-2</v>
      </c>
      <c r="D18">
        <v>2.6110507919999999</v>
      </c>
      <c r="E18" cm="1">
        <f t="array" ref="E18">gett("T50",E$2,E$3,D18)</f>
        <v>5.4189807528368224E-2</v>
      </c>
    </row>
    <row r="19" spans="1:5" x14ac:dyDescent="0.25">
      <c r="A19">
        <v>3.113235446</v>
      </c>
      <c r="B19" cm="1">
        <f t="array" ref="B19">gett("T50",B$2,B$3,A19)</f>
        <v>8.0629501776296311E-2</v>
      </c>
      <c r="D19">
        <v>2.9591186309999999</v>
      </c>
      <c r="E19" cm="1">
        <f t="array" ref="E19">gett("T50",E$2,E$3,D19)</f>
        <v>5.6512188078962459E-2</v>
      </c>
    </row>
    <row r="20" spans="1:5" x14ac:dyDescent="0.25">
      <c r="A20">
        <v>3.3864339170000002</v>
      </c>
      <c r="B20" cm="1">
        <f t="array" ref="B20">gett("T50",B$2,B$3,A20)</f>
        <v>8.0995710162153539E-2</v>
      </c>
      <c r="D20">
        <v>3.2376107890000001</v>
      </c>
      <c r="E20" cm="1">
        <f t="array" ref="E20">gett("T50",E$2,E$3,D20)</f>
        <v>5.7810509671153823E-2</v>
      </c>
    </row>
    <row r="21" spans="1:5" x14ac:dyDescent="0.25">
      <c r="A21">
        <v>3.7025501959999998</v>
      </c>
      <c r="B21" cm="1">
        <f t="array" ref="B21">gett("T50",B$2,B$3,A21)</f>
        <v>7.9961449726050862E-2</v>
      </c>
      <c r="D21">
        <v>3.612652229</v>
      </c>
      <c r="E21" cm="1">
        <f t="array" ref="E21">gett("T50",E$2,E$3,D21)</f>
        <v>5.7128119789919919E-2</v>
      </c>
    </row>
    <row r="22" spans="1:5" x14ac:dyDescent="0.25">
      <c r="A22">
        <v>4.1043126540000001</v>
      </c>
      <c r="B22" cm="1">
        <f t="array" ref="B22">gett("T50",B$2,B$3,A22)</f>
        <v>8.0496099866318435E-2</v>
      </c>
      <c r="D22">
        <v>3.960846359</v>
      </c>
      <c r="E22" cm="1">
        <f t="array" ref="E22">gett("T50",E$2,E$3,D22)</f>
        <v>5.7459019968711111E-2</v>
      </c>
    </row>
    <row r="23" spans="1:5" x14ac:dyDescent="0.25">
      <c r="A23">
        <v>4.4525383559999998</v>
      </c>
      <c r="B23" cm="1">
        <f t="array" ref="B23">gett("T50",B$2,B$3,A23)</f>
        <v>8.0233190347811276E-2</v>
      </c>
      <c r="D23">
        <v>4.2555037330000003</v>
      </c>
      <c r="E23" cm="1">
        <f t="array" ref="E23">gett("T50",E$2,E$3,D23)</f>
        <v>5.7220489710536136E-2</v>
      </c>
    </row>
    <row r="24" spans="1:5" x14ac:dyDescent="0.25">
      <c r="A24">
        <v>4.843555576</v>
      </c>
      <c r="B24" cm="1">
        <f t="array" ref="B24">gett("T50",B$2,B$3,A24)</f>
        <v>8.1489198948334465E-2</v>
      </c>
      <c r="D24">
        <v>4.5500979629999998</v>
      </c>
      <c r="E24" cm="1">
        <f t="array" ref="E24">gett("T50",E$2,E$3,D24)</f>
        <v>5.8023379945705174E-2</v>
      </c>
    </row>
    <row r="25" spans="1:5" x14ac:dyDescent="0.25">
      <c r="A25">
        <v>5.1703223749999996</v>
      </c>
      <c r="B25" cm="1">
        <f t="array" ref="B25">gett("T50",B$2,B$3,A25)</f>
        <v>8.1932080842784041E-2</v>
      </c>
      <c r="D25">
        <v>4.828653267</v>
      </c>
      <c r="E25" cm="1">
        <f t="array" ref="E25">gett("T50",E$2,E$3,D25)</f>
        <v>5.8292091052277839E-2</v>
      </c>
    </row>
    <row r="26" spans="1:5" x14ac:dyDescent="0.25">
      <c r="A26">
        <v>5.5131280990000002</v>
      </c>
      <c r="B26" cm="1">
        <f t="array" ref="B26">gett("T50",B$2,B$3,A26)</f>
        <v>8.3148180302903954E-2</v>
      </c>
      <c r="D26">
        <v>5.0428634319999999</v>
      </c>
      <c r="E26" cm="1">
        <f t="array" ref="E26">gett("T50",E$2,E$3,D26)</f>
        <v>5.9567762130572181E-2</v>
      </c>
    </row>
    <row r="27" spans="1:5" x14ac:dyDescent="0.25">
      <c r="A27">
        <v>5.8449999999999998</v>
      </c>
      <c r="B27" cm="1">
        <f t="array" ref="B27">gett("T50",B$2,B$3,A27)</f>
        <v>8.2856358985703649E-2</v>
      </c>
      <c r="D27">
        <v>5.3107050710000001</v>
      </c>
      <c r="E27" cm="1">
        <f t="array" ref="E27">gett("T50",E$2,E$3,D27)</f>
        <v>5.983298987966934E-2</v>
      </c>
    </row>
    <row r="28" spans="1:5" x14ac:dyDescent="0.25">
      <c r="A28" s="29"/>
      <c r="D28">
        <v>5.6214645169999997</v>
      </c>
      <c r="E28" cm="1">
        <f t="array" ref="E28">gett("T50",E$2,E$3,D28)</f>
        <v>5.9063721165930644E-2</v>
      </c>
    </row>
    <row r="29" spans="1:5" x14ac:dyDescent="0.25">
      <c r="A29" s="29"/>
      <c r="D29">
        <v>5.9161218919999996</v>
      </c>
      <c r="E29" cm="1">
        <f t="array" ref="E29">gett("T50",E$2,E$3,D29)</f>
        <v>5.881851983930076E-2</v>
      </c>
    </row>
    <row r="30" spans="1:5" x14ac:dyDescent="0.25">
      <c r="A30" s="29"/>
    </row>
    <row r="31" spans="1:5" x14ac:dyDescent="0.25">
      <c r="A31" s="29"/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6501-F4B9-4295-85E7-737605154EB5}">
  <sheetPr codeName="Foglio12">
    <pageSetUpPr fitToPage="1"/>
  </sheetPr>
  <dimension ref="A1:AO33"/>
  <sheetViews>
    <sheetView workbookViewId="0">
      <selection activeCell="S22" sqref="S22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1" t="s">
        <v>90</v>
      </c>
      <c r="B1" s="41"/>
      <c r="C1" s="41"/>
      <c r="D1" s="41"/>
      <c r="E1" s="41"/>
      <c r="F1" s="41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123</v>
      </c>
      <c r="B2">
        <v>1</v>
      </c>
      <c r="D2" t="s">
        <v>123</v>
      </c>
      <c r="E2">
        <v>1</v>
      </c>
      <c r="G2" s="42" t="s">
        <v>126</v>
      </c>
      <c r="H2" s="42"/>
    </row>
    <row r="3" spans="1:41" x14ac:dyDescent="0.25">
      <c r="A3" t="s">
        <v>83</v>
      </c>
      <c r="B3">
        <v>0.5</v>
      </c>
      <c r="D3" t="s">
        <v>83</v>
      </c>
      <c r="E3">
        <v>1</v>
      </c>
      <c r="G3" s="26" t="s">
        <v>101</v>
      </c>
      <c r="H3" s="26" t="s">
        <v>102</v>
      </c>
      <c r="I3" s="26" t="s">
        <v>83</v>
      </c>
    </row>
    <row r="4" spans="1:41" x14ac:dyDescent="0.25">
      <c r="A4" s="3" t="s">
        <v>124</v>
      </c>
      <c r="B4" s="15" t="s">
        <v>88</v>
      </c>
      <c r="D4" s="3" t="s">
        <v>124</v>
      </c>
      <c r="E4" s="15" t="s">
        <v>88</v>
      </c>
      <c r="G4" s="27">
        <f>ANALISI!C50</f>
        <v>2.6</v>
      </c>
      <c r="H4" s="27" cm="1">
        <f t="array" ref="H4">gett("T90",E$2,I$4,G4)</f>
        <v>0.48230946077125664</v>
      </c>
      <c r="I4" s="27">
        <v>0.5</v>
      </c>
    </row>
    <row r="5" spans="1:41" x14ac:dyDescent="0.25">
      <c r="A5">
        <v>0.50412111299999995</v>
      </c>
      <c r="B5" cm="1">
        <f t="array" ref="B5">gett("T90",B$2,B$3,A5)</f>
        <v>1.8320839799187836E-2</v>
      </c>
      <c r="D5">
        <v>0.50947794599999996</v>
      </c>
      <c r="E5" cm="1">
        <f t="array" ref="E5">gett("T90",E$2,E$3,D5)</f>
        <v>1.8322407889122629E-2</v>
      </c>
      <c r="G5" s="28">
        <f>G4</f>
        <v>2.6</v>
      </c>
      <c r="H5" s="28" cm="1">
        <f t="array" ref="H5">gett("T90",E$2,I$5,G5)</f>
        <v>0.44739399990971529</v>
      </c>
      <c r="I5" s="28">
        <v>1</v>
      </c>
    </row>
    <row r="6" spans="1:41" x14ac:dyDescent="0.25">
      <c r="A6">
        <v>0.52957922400000002</v>
      </c>
      <c r="B6" cm="1">
        <f t="array" ref="B6">gett("T90",B$2,B$3,A6)</f>
        <v>2.6801446567186953E-2</v>
      </c>
      <c r="D6">
        <v>0.545776013</v>
      </c>
      <c r="E6" cm="1">
        <f t="array" ref="E6">gett("T90",E$2,E$3,D6)</f>
        <v>2.5855732393324761E-2</v>
      </c>
      <c r="G6" s="25"/>
      <c r="H6" s="25"/>
    </row>
    <row r="7" spans="1:41" x14ac:dyDescent="0.25">
      <c r="A7">
        <v>0.613994068</v>
      </c>
      <c r="B7" cm="1">
        <f t="array" ref="B7">gett("T90",B$2,B$3,A7)</f>
        <v>3.8892476411145079E-2</v>
      </c>
      <c r="D7">
        <v>0.61957190900000003</v>
      </c>
      <c r="E7" cm="1">
        <f t="array" ref="E7">gett("T90",E$2,E$3,D7)</f>
        <v>3.6509057313195432E-2</v>
      </c>
      <c r="G7" s="25"/>
      <c r="H7" s="25"/>
    </row>
    <row r="8" spans="1:41" x14ac:dyDescent="0.25">
      <c r="A8">
        <v>0.70382889000000004</v>
      </c>
      <c r="B8" cm="1">
        <f t="array" ref="B8">gett("T90",B$2,B$3,A8)</f>
        <v>5.5431174954479481E-2</v>
      </c>
      <c r="D8">
        <v>0.68823198200000002</v>
      </c>
      <c r="E8" cm="1">
        <f t="array" ref="E8">gett("T90",E$2,E$3,D8)</f>
        <v>4.8384116527816483E-2</v>
      </c>
      <c r="G8" s="25"/>
      <c r="H8" s="25"/>
    </row>
    <row r="9" spans="1:41" x14ac:dyDescent="0.25">
      <c r="A9">
        <v>0.79917840799999995</v>
      </c>
      <c r="B9" cm="1">
        <f t="array" ref="B9">gett("T90",B$2,B$3,A9)</f>
        <v>7.5515645663717351E-2</v>
      </c>
      <c r="D9">
        <v>0.78354992800000001</v>
      </c>
      <c r="E9" cm="1">
        <f t="array" ref="E9">gett("T90",E$2,E$3,D9)</f>
        <v>6.6514136812114294E-2</v>
      </c>
      <c r="G9" s="25"/>
      <c r="H9" s="25"/>
    </row>
    <row r="10" spans="1:41" x14ac:dyDescent="0.25">
      <c r="A10">
        <v>0.91595525799999999</v>
      </c>
      <c r="B10" cm="1">
        <f t="array" ref="B10">gett("T90",B$2,B$3,A10)</f>
        <v>0.10291371545694859</v>
      </c>
      <c r="D10">
        <v>0.88447728800000003</v>
      </c>
      <c r="E10" cm="1">
        <f t="array" ref="E10">gett("T90",E$2,E$3,D10)</f>
        <v>8.5061247715071162E-2</v>
      </c>
      <c r="G10" s="25"/>
      <c r="H10" s="25"/>
    </row>
    <row r="11" spans="1:41" x14ac:dyDescent="0.25">
      <c r="A11">
        <v>1.0648415309999999</v>
      </c>
      <c r="B11" cm="1">
        <f t="array" ref="B11">gett("T90",B$2,B$3,A11)</f>
        <v>0.14160209994634829</v>
      </c>
      <c r="D11">
        <v>0.98543622099999995</v>
      </c>
      <c r="E11" cm="1">
        <f t="array" ref="E11">gett("T90",E$2,E$3,D11)</f>
        <v>0.10780032177107295</v>
      </c>
      <c r="G11" s="25"/>
      <c r="H11" s="25"/>
    </row>
    <row r="12" spans="1:41" x14ac:dyDescent="0.25">
      <c r="A12">
        <v>1.240701405</v>
      </c>
      <c r="B12" cm="1">
        <f t="array" ref="B12">gett("T90",B$2,B$3,A12)</f>
        <v>0.18462309893907372</v>
      </c>
      <c r="D12">
        <v>1.1558129699999999</v>
      </c>
      <c r="E12" cm="1">
        <f t="array" ref="E12">gett("T90",E$2,E$3,D12)</f>
        <v>0.14571799330881546</v>
      </c>
      <c r="G12" s="25"/>
      <c r="H12" s="25"/>
    </row>
    <row r="13" spans="1:41" x14ac:dyDescent="0.25">
      <c r="A13">
        <v>1.379379176</v>
      </c>
      <c r="B13" cm="1">
        <f t="array" ref="B13">gett("T90",B$2,B$3,A13)</f>
        <v>0.21975616558127406</v>
      </c>
      <c r="D13">
        <v>1.363719122</v>
      </c>
      <c r="E13" cm="1">
        <f t="array" ref="E13">gett("T90",E$2,E$3,D13)</f>
        <v>0.19532043989988962</v>
      </c>
      <c r="G13" s="25"/>
      <c r="H13" s="25"/>
    </row>
    <row r="14" spans="1:41" x14ac:dyDescent="0.25">
      <c r="A14">
        <v>1.5608484629999999</v>
      </c>
      <c r="B14" cm="1">
        <f t="array" ref="B14">gett("T90",B$2,B$3,A14)</f>
        <v>0.26654046714418878</v>
      </c>
      <c r="D14">
        <v>1.582528376</v>
      </c>
      <c r="E14" cm="1">
        <f t="array" ref="E14">gett("T90",E$2,E$3,D14)</f>
        <v>0.24801908975966455</v>
      </c>
    </row>
    <row r="15" spans="1:41" x14ac:dyDescent="0.25">
      <c r="A15">
        <v>1.790529246</v>
      </c>
      <c r="B15" cm="1">
        <f t="array" ref="B15">gett("T90",B$2,B$3,A15)</f>
        <v>0.32354323183640893</v>
      </c>
      <c r="D15">
        <v>1.801495493</v>
      </c>
      <c r="E15" cm="1">
        <f t="array" ref="E15">gett("T90",E$2,E$3,D15)</f>
        <v>0.30100744213893532</v>
      </c>
    </row>
    <row r="16" spans="1:41" x14ac:dyDescent="0.25">
      <c r="A16">
        <v>2.0096226540000002</v>
      </c>
      <c r="B16" cm="1">
        <f t="array" ref="B16">gett("T90",B$2,B$3,A16)</f>
        <v>0.37871112757945136</v>
      </c>
      <c r="D16">
        <v>2.0419530859999999</v>
      </c>
      <c r="E16" cm="1">
        <f t="array" ref="E16">gett("T90",E$2,E$3,D16)</f>
        <v>0.35889337842305741</v>
      </c>
    </row>
    <row r="17" spans="1:5" x14ac:dyDescent="0.25">
      <c r="A17">
        <v>2.239556018</v>
      </c>
      <c r="B17" cm="1">
        <f t="array" ref="B17">gett("T90",B$2,B$3,A17)</f>
        <v>0.42760726348832062</v>
      </c>
      <c r="D17">
        <v>2.3361368709999999</v>
      </c>
      <c r="E17" cm="1">
        <f t="array" ref="E17">gett("T90",E$2,E$3,D17)</f>
        <v>0.40934965072888213</v>
      </c>
    </row>
    <row r="18" spans="1:5" x14ac:dyDescent="0.25">
      <c r="A18">
        <v>2.491011431</v>
      </c>
      <c r="B18" cm="1">
        <f t="array" ref="B18">gett("T90",B$2,B$3,A18)</f>
        <v>0.47005562596980704</v>
      </c>
      <c r="D18">
        <v>2.6946657940000001</v>
      </c>
      <c r="E18" cm="1">
        <f t="array" ref="E18">gett("T90",E$2,E$3,D18)</f>
        <v>0.45901663671781195</v>
      </c>
    </row>
    <row r="19" spans="1:5" x14ac:dyDescent="0.25">
      <c r="A19">
        <v>2.7104837110000002</v>
      </c>
      <c r="B19" cm="1">
        <f t="array" ref="B19">gett("T90",B$2,B$3,A19)</f>
        <v>0.49360158814316779</v>
      </c>
      <c r="D19">
        <v>2.9462790710000002</v>
      </c>
      <c r="E19" cm="1">
        <f t="array" ref="E19">gett("T90",E$2,E$3,D19)</f>
        <v>0.48226678573366116</v>
      </c>
    </row>
    <row r="20" spans="1:5" x14ac:dyDescent="0.25">
      <c r="A20">
        <v>2.9567085820000001</v>
      </c>
      <c r="B20" cm="1">
        <f t="array" ref="B20">gett("T90",B$2,B$3,A20)</f>
        <v>0.52327007558581795</v>
      </c>
      <c r="D20">
        <v>3.321099501</v>
      </c>
      <c r="E20" cm="1">
        <f t="array" ref="E20">gett("T90",E$2,E$3,D20)</f>
        <v>0.50773110748668593</v>
      </c>
    </row>
    <row r="21" spans="1:5" x14ac:dyDescent="0.25">
      <c r="A21">
        <v>3.1923145060000002</v>
      </c>
      <c r="B21" cm="1">
        <f t="array" ref="B21">gett("T90",B$2,B$3,A21)</f>
        <v>0.53977276201160451</v>
      </c>
      <c r="D21">
        <v>3.6103368979999999</v>
      </c>
      <c r="E21" cm="1">
        <f t="array" ref="E21">gett("T90",E$2,E$3,D21)</f>
        <v>0.51480959909022361</v>
      </c>
    </row>
    <row r="22" spans="1:5" x14ac:dyDescent="0.25">
      <c r="A22">
        <v>3.4333404079999998</v>
      </c>
      <c r="B22" cm="1">
        <f t="array" ref="B22">gett("T90",B$2,B$3,A22)</f>
        <v>0.54686047922421499</v>
      </c>
      <c r="D22">
        <v>3.8192533759999998</v>
      </c>
      <c r="E22" cm="1">
        <f t="array" ref="E22">gett("T90",E$2,E$3,D22)</f>
        <v>0.51659667575392454</v>
      </c>
    </row>
    <row r="23" spans="1:5" x14ac:dyDescent="0.25">
      <c r="A23">
        <v>3.6475505730000002</v>
      </c>
      <c r="B23" cm="1">
        <f t="array" ref="B23">gett("T90",B$2,B$3,A23)</f>
        <v>0.55882800519139209</v>
      </c>
      <c r="D23">
        <v>4.1567022680000001</v>
      </c>
      <c r="E23" cm="1">
        <f t="array" ref="E23">gett("T90",E$2,E$3,D23)</f>
        <v>0.52421778388403162</v>
      </c>
    </row>
    <row r="24" spans="1:5" x14ac:dyDescent="0.25">
      <c r="A24">
        <v>3.8564670510000001</v>
      </c>
      <c r="B24" cm="1">
        <f t="array" ref="B24">gett("T90",B$2,B$3,A24)</f>
        <v>0.56076789046461373</v>
      </c>
      <c r="D24">
        <v>4.4084734079999999</v>
      </c>
      <c r="E24" cm="1">
        <f t="array" ref="E24">gett("T90",E$2,E$3,D24)</f>
        <v>0.52641156606788486</v>
      </c>
    </row>
    <row r="25" spans="1:5" x14ac:dyDescent="0.25">
      <c r="A25">
        <v>4.1296339499999997</v>
      </c>
      <c r="B25" cm="1">
        <f t="array" ref="B25">gett("T90",B$2,B$3,A25)</f>
        <v>0.56843421834961627</v>
      </c>
      <c r="D25">
        <v>4.6869971389999998</v>
      </c>
      <c r="E25" cm="1">
        <f t="array" ref="E25">gett("T90",E$2,E$3,D25)</f>
        <v>0.53365562390654842</v>
      </c>
    </row>
    <row r="26" spans="1:5" x14ac:dyDescent="0.25">
      <c r="A26">
        <v>4.4295850120000004</v>
      </c>
      <c r="B26" cm="1">
        <f t="array" ref="B26">gett("T90",B$2,B$3,A26)</f>
        <v>0.57646140029398907</v>
      </c>
      <c r="D26">
        <v>4.9387367070000003</v>
      </c>
      <c r="E26" cm="1">
        <f t="array" ref="E26">gett("T90",E$2,E$3,D26)</f>
        <v>0.54075904976906353</v>
      </c>
    </row>
    <row r="27" spans="1:5" x14ac:dyDescent="0.25">
      <c r="A27">
        <v>4.7295360740000003</v>
      </c>
      <c r="B27" cm="1">
        <f t="array" ref="B27">gett("T90",B$2,B$3,A27)</f>
        <v>0.58460194226847473</v>
      </c>
      <c r="D27">
        <v>5.1422647789999996</v>
      </c>
      <c r="E27" cm="1">
        <f t="array" ref="E27">gett("T90",E$2,E$3,D27)</f>
        <v>0.54751903583886019</v>
      </c>
    </row>
    <row r="28" spans="1:5" x14ac:dyDescent="0.25">
      <c r="A28">
        <v>4.9812756419999999</v>
      </c>
      <c r="B28" cm="1">
        <f t="array" ref="B28">gett("T90",B$2,B$3,A28)</f>
        <v>0.59238352009040751</v>
      </c>
      <c r="D28">
        <v>5.4744199829999998</v>
      </c>
      <c r="E28" cm="1">
        <f t="array" ref="E28">gett("T90",E$2,E$3,D28)</f>
        <v>0.54558534018093163</v>
      </c>
    </row>
    <row r="29" spans="1:5" x14ac:dyDescent="0.25">
      <c r="A29">
        <v>5.3187561060000004</v>
      </c>
      <c r="B29" cm="1">
        <f t="array" ref="B29">gett("T90",B$2,B$3,A29)</f>
        <v>0.59570887823045748</v>
      </c>
      <c r="D29">
        <v>5.7744341910000001</v>
      </c>
      <c r="E29" cm="1">
        <f t="array" ref="E29">gett("T90",E$2,E$3,D29)</f>
        <v>0.54336870726232867</v>
      </c>
    </row>
    <row r="30" spans="1:5" x14ac:dyDescent="0.25">
      <c r="A30">
        <v>5.5759472240000001</v>
      </c>
      <c r="B30" cm="1">
        <f t="array" ref="B30">gett("T90",B$2,B$3,A30)</f>
        <v>0.5875275520726384</v>
      </c>
      <c r="D30">
        <v>5.9191000000000003</v>
      </c>
      <c r="E30" cm="1">
        <f t="array" ref="E30">gett("T90",E$2,E$3,D30)</f>
        <v>0.53976842000000014</v>
      </c>
    </row>
    <row r="31" spans="1:5" x14ac:dyDescent="0.25">
      <c r="A31">
        <v>5.91</v>
      </c>
      <c r="B31" cm="1">
        <f t="array" ref="B31">gett("T90",B$2,B$3,A31)</f>
        <v>0.5853591665044322</v>
      </c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7040-D79D-42C0-B297-8DC61D54AAC0}">
  <sheetPr codeName="Foglio13">
    <pageSetUpPr fitToPage="1"/>
  </sheetPr>
  <dimension ref="A1:AU33"/>
  <sheetViews>
    <sheetView topLeftCell="A12" workbookViewId="0">
      <selection activeCell="K5" sqref="K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1" t="s">
        <v>90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123</v>
      </c>
      <c r="B2">
        <v>2.5</v>
      </c>
      <c r="D2" t="s">
        <v>123</v>
      </c>
      <c r="E2">
        <v>2.5</v>
      </c>
      <c r="G2" t="s">
        <v>123</v>
      </c>
      <c r="H2">
        <v>2.5</v>
      </c>
      <c r="J2" t="s">
        <v>123</v>
      </c>
      <c r="K2">
        <v>2.5</v>
      </c>
      <c r="M2" s="42" t="s">
        <v>126</v>
      </c>
      <c r="N2" s="42"/>
    </row>
    <row r="3" spans="1:47" x14ac:dyDescent="0.25">
      <c r="A3" t="s">
        <v>83</v>
      </c>
      <c r="B3">
        <v>0.5</v>
      </c>
      <c r="D3" t="s">
        <v>83</v>
      </c>
      <c r="E3">
        <v>1</v>
      </c>
      <c r="G3" t="s">
        <v>83</v>
      </c>
      <c r="H3">
        <v>1.5</v>
      </c>
      <c r="J3" t="s">
        <v>83</v>
      </c>
      <c r="K3">
        <v>2</v>
      </c>
      <c r="M3" s="26" t="s">
        <v>101</v>
      </c>
      <c r="N3" s="26" t="s">
        <v>102</v>
      </c>
      <c r="O3" s="26" t="s">
        <v>83</v>
      </c>
    </row>
    <row r="4" spans="1:47" x14ac:dyDescent="0.25">
      <c r="A4" s="3" t="s">
        <v>124</v>
      </c>
      <c r="B4" s="15" t="s">
        <v>87</v>
      </c>
      <c r="D4" s="3" t="s">
        <v>124</v>
      </c>
      <c r="E4" s="15" t="s">
        <v>87</v>
      </c>
      <c r="F4" s="15"/>
      <c r="G4" s="3" t="s">
        <v>124</v>
      </c>
      <c r="H4" s="15" t="s">
        <v>87</v>
      </c>
      <c r="I4" s="15"/>
      <c r="J4" s="3" t="s">
        <v>124</v>
      </c>
      <c r="K4" s="15" t="s">
        <v>87</v>
      </c>
      <c r="M4" s="27">
        <f>ANALISI!C50</f>
        <v>2.6</v>
      </c>
      <c r="N4" s="27" cm="1">
        <f t="array" ref="N4">gett("T50",E$2,O$4,M4)</f>
        <v>0.19704641230993944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2.0210043696370934E-3</v>
      </c>
      <c r="D5">
        <v>0.50082901000000002</v>
      </c>
      <c r="E5" cm="1">
        <f t="array" ref="E5">gett("T50",E$2,E$3,D5)</f>
        <v>5.3460005432961659E-3</v>
      </c>
      <c r="G5">
        <v>0.52070000000000005</v>
      </c>
      <c r="H5" cm="1">
        <f t="array" ref="H5">gett("T50",H$2,H$3,G5)</f>
        <v>0.1985733873920516</v>
      </c>
      <c r="J5">
        <v>0.51429999999999998</v>
      </c>
      <c r="K5" cm="1">
        <f t="array" ref="K5">gett("T50",K$2,K$3,J5)</f>
        <v>0.25951259032032836</v>
      </c>
      <c r="M5" s="28">
        <f>M4</f>
        <v>2.6</v>
      </c>
      <c r="N5" s="28" cm="1">
        <f t="array" ref="N5">gett("T50",E$2,O$5,M5)</f>
        <v>0.26359606146176162</v>
      </c>
      <c r="O5" s="28">
        <v>1</v>
      </c>
    </row>
    <row r="6" spans="1:47" x14ac:dyDescent="0.25">
      <c r="A6">
        <v>0.56837503</v>
      </c>
      <c r="B6" cm="1">
        <f t="array" ref="B6">gett("T50",B$2,B$3,A6)</f>
        <v>2.9170004664975588E-3</v>
      </c>
      <c r="D6">
        <v>0.52696666000000003</v>
      </c>
      <c r="E6" cm="1">
        <f t="array" ref="E6">gett("T50",E$2,E$3,D6)</f>
        <v>7.3089675421261959E-3</v>
      </c>
      <c r="G6">
        <v>0.78736099999999998</v>
      </c>
      <c r="H6" cm="1">
        <f t="array" ref="H6">gett("T50",H$2,H$3,G6)</f>
        <v>0.21992700000000007</v>
      </c>
      <c r="J6">
        <v>0.67761455999999998</v>
      </c>
      <c r="K6" cm="1">
        <f t="array" ref="K6">gett("T50",K$2,K$3,J6)</f>
        <v>0.27201497310090633</v>
      </c>
      <c r="M6" s="27">
        <f>M5</f>
        <v>2.6</v>
      </c>
      <c r="N6" s="27" cm="1">
        <f t="array" ref="N6">gett("T50",E$2,O$6,M6)</f>
        <v>0.37171557150582218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4.24799269503428E-3</v>
      </c>
      <c r="D7">
        <v>0.56352767999999998</v>
      </c>
      <c r="E7" cm="1">
        <f t="array" ref="E7">gett("T50",E$2,E$3,D7)</f>
        <v>1.1425963454025478E-2</v>
      </c>
      <c r="G7">
        <v>1.0159149199999999</v>
      </c>
      <c r="H7" cm="1">
        <f t="array" ref="H7">gett("T50",H$2,H$3,G7)</f>
        <v>0.24127599273528644</v>
      </c>
      <c r="J7">
        <v>0.92264312000000004</v>
      </c>
      <c r="K7" cm="1">
        <f t="array" ref="K7">gett("T50",K$2,K$3,J7)</f>
        <v>0.28802601051864113</v>
      </c>
      <c r="M7" s="28">
        <f>M6</f>
        <v>2.6</v>
      </c>
      <c r="N7" s="28" cm="1">
        <f t="array" ref="N7">gett("T50",E$2,O$7,M7)</f>
        <v>0.42411245232827782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6.07799782699489E-3</v>
      </c>
      <c r="D8">
        <v>0.63294293999999995</v>
      </c>
      <c r="E8" cm="1">
        <f t="array" ref="E8">gett("T50",E$2,E$3,D8)</f>
        <v>1.7089995630446015E-2</v>
      </c>
      <c r="G8">
        <v>1.3207274200000001</v>
      </c>
      <c r="H8" cm="1">
        <f t="array" ref="H8">gett("T50",H$2,H$3,G8)</f>
        <v>0.26737403604303528</v>
      </c>
      <c r="J8">
        <v>1.0913814399999999</v>
      </c>
      <c r="K8" cm="1">
        <f t="array" ref="K8">gett("T50",K$2,K$3,J8)</f>
        <v>0.3046330397125705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8.6980117377100773E-3</v>
      </c>
      <c r="D9">
        <v>0.71867442999999998</v>
      </c>
      <c r="E9" cm="1">
        <f t="array" ref="E9">gett("T50",E$2,E$3,D9)</f>
        <v>2.5799050010828568E-2</v>
      </c>
      <c r="G9">
        <v>1.6092236900000001</v>
      </c>
      <c r="H9" cm="1">
        <f t="array" ref="H9">gett("T50",H$2,H$3,G9)</f>
        <v>0.29359097053663646</v>
      </c>
      <c r="J9">
        <v>1.3364100000000001</v>
      </c>
      <c r="K9" cm="1">
        <f t="array" ref="K9">gett("T50",K$2,K$3,J9)</f>
        <v>0.32256400000000007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1.2561020562428315E-2</v>
      </c>
      <c r="D10">
        <v>0.8371651</v>
      </c>
      <c r="E10" cm="1">
        <f t="array" ref="E10">gett("T50",E$2,E$3,D10)</f>
        <v>3.8275009716070126E-2</v>
      </c>
      <c r="G10">
        <v>1.91951717</v>
      </c>
      <c r="H10" cm="1">
        <f t="array" ref="H10">gett("T50",H$2,H$3,G10)</f>
        <v>0.32248301450793188</v>
      </c>
      <c r="J10">
        <v>1.5596096800000001</v>
      </c>
      <c r="K10" cm="1">
        <f t="array" ref="K10">gett("T50",K$2,K$3,J10)</f>
        <v>0.34449996835099445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1.7821015241072151E-2</v>
      </c>
      <c r="D11">
        <v>0.99395929999999999</v>
      </c>
      <c r="E11" cm="1">
        <f t="array" ref="E11">gett("T50",E$2,E$3,D11)</f>
        <v>5.4336035196335578E-2</v>
      </c>
      <c r="G11">
        <v>2.2625698299999999</v>
      </c>
      <c r="H11" cm="1">
        <f t="array" ref="H11">gett("T50",H$2,H$3,G11)</f>
        <v>0.34812098816608988</v>
      </c>
      <c r="J11">
        <v>1.7991889400000001</v>
      </c>
      <c r="K11" cm="1">
        <f t="array" ref="K11">gett("T50",K$2,K$3,J11)</f>
        <v>0.36474799556220783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2.4612986385380314E-2</v>
      </c>
      <c r="D12">
        <v>1.1562344899999999</v>
      </c>
      <c r="E12" cm="1">
        <f t="array" ref="E12">gett("T50",E$2,E$3,D12)</f>
        <v>7.6458068858694259E-2</v>
      </c>
      <c r="G12">
        <v>2.6111034800000001</v>
      </c>
      <c r="H12" cm="1">
        <f t="array" ref="H12">gett("T50",H$2,H$3,G12)</f>
        <v>0.37248903342294459</v>
      </c>
      <c r="J12">
        <v>2.02790128</v>
      </c>
      <c r="K12" cm="1">
        <f t="array" ref="K12">gett("T50",K$2,K$3,J12)</f>
        <v>0.38269302634840208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3.4003961259843341E-2</v>
      </c>
      <c r="D13">
        <v>1.3405603500000001</v>
      </c>
      <c r="E13" cm="1">
        <f t="array" ref="E13">gett("T50",E$2,E$3,D13)</f>
        <v>0.10020504456037481</v>
      </c>
      <c r="G13">
        <v>2.9977822600000001</v>
      </c>
      <c r="H13" cm="1">
        <f t="array" ref="H13">gett("T50",H$2,H$3,G13)</f>
        <v>0.39878901709848236</v>
      </c>
      <c r="J13">
        <v>2.3328088199999999</v>
      </c>
      <c r="K13" cm="1">
        <f t="array" ref="K13">gett("T50",K$2,K$3,J13)</f>
        <v>0.41288398742526428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4.7832946246627525E-2</v>
      </c>
      <c r="D14">
        <v>1.57389826</v>
      </c>
      <c r="E14" cm="1">
        <f t="array" ref="E14">gett("T50",E$2,E$3,D14)</f>
        <v>0.13260303757471215</v>
      </c>
      <c r="G14">
        <v>3.3354806699999999</v>
      </c>
      <c r="H14" cm="1">
        <f t="array" ref="H14">gett("T50",H$2,H$3,G14)</f>
        <v>0.41908798309750089</v>
      </c>
      <c r="J14">
        <v>2.6378747699999998</v>
      </c>
      <c r="K14" cm="1">
        <f t="array" ref="K14">gett("T50",K$2,K$3,J14)</f>
        <v>0.42601598702588378</v>
      </c>
    </row>
    <row r="15" spans="1:47" x14ac:dyDescent="0.25">
      <c r="A15">
        <v>1.56017995</v>
      </c>
      <c r="B15" cm="1">
        <f t="array" ref="B15">gett("T50",B$2,B$3,A15)</f>
        <v>6.3205994118915421E-2</v>
      </c>
      <c r="D15">
        <v>1.7965593399999999</v>
      </c>
      <c r="E15" cm="1">
        <f t="array" ref="E15">gett("T50",E$2,E$3,D15)</f>
        <v>0.16482205017751844</v>
      </c>
      <c r="G15">
        <v>3.6296480099999999</v>
      </c>
      <c r="H15" cm="1">
        <f t="array" ref="H15">gett("T50",H$2,H$3,G15)</f>
        <v>0.43234800043611304</v>
      </c>
      <c r="J15">
        <v>2.8720680999999999</v>
      </c>
      <c r="K15" cm="1">
        <f t="array" ref="K15">gett("T50",K$2,K$3,J15)</f>
        <v>0.44304000621555478</v>
      </c>
    </row>
    <row r="16" spans="1:47" x14ac:dyDescent="0.25">
      <c r="A16">
        <v>1.7389297800000001</v>
      </c>
      <c r="B16" cm="1">
        <f t="array" ref="B16">gett("T50",B$2,B$3,A16)</f>
        <v>8.584096911969484E-2</v>
      </c>
      <c r="D16">
        <v>2.0247964399999998</v>
      </c>
      <c r="E16" cm="1">
        <f t="array" ref="E16">gett("T50",E$2,E$3,D16)</f>
        <v>0.19770105664346133</v>
      </c>
      <c r="G16">
        <v>3.9456125700000002</v>
      </c>
      <c r="H16" cm="1">
        <f t="array" ref="H16">gett("T50",H$2,H$3,G16)</f>
        <v>0.44617198266716435</v>
      </c>
      <c r="J16">
        <v>3.2370763899999999</v>
      </c>
      <c r="K16" cm="1">
        <f t="array" ref="K16">gett("T50",K$2,K$3,J16)</f>
        <v>0.45754002189722848</v>
      </c>
    </row>
    <row r="17" spans="1:11" x14ac:dyDescent="0.25">
      <c r="A17">
        <v>1.91238872</v>
      </c>
      <c r="B17" cm="1">
        <f t="array" ref="B17">gett("T50",B$2,B$3,A17)</f>
        <v>0.11148596077731562</v>
      </c>
      <c r="D17">
        <v>2.2641222499999998</v>
      </c>
      <c r="E17" cm="1">
        <f t="array" ref="E17">gett("T50",E$2,E$3,D17)</f>
        <v>0.22481102871781575</v>
      </c>
      <c r="G17">
        <v>4.2180143799999996</v>
      </c>
      <c r="H17" cm="1">
        <f t="array" ref="H17">gett("T50",H$2,H$3,G17)</f>
        <v>0.45605101306603252</v>
      </c>
      <c r="J17">
        <v>3.48761762</v>
      </c>
      <c r="K17" cm="1">
        <f t="array" ref="K17">gett("T50",K$2,K$3,J17)</f>
        <v>0.4759389740336637</v>
      </c>
    </row>
    <row r="18" spans="1:11" x14ac:dyDescent="0.25">
      <c r="A18">
        <v>2.1241828699999998</v>
      </c>
      <c r="B18" cm="1">
        <f t="array" ref="B18">gett("T50",B$2,B$3,A18)</f>
        <v>0.13732098403165646</v>
      </c>
      <c r="D18">
        <v>2.5415614999999998</v>
      </c>
      <c r="E18" cm="1">
        <f t="array" ref="E18">gett("T50",E$2,E$3,D18)</f>
        <v>0.25807705136692605</v>
      </c>
      <c r="G18">
        <v>4.5231120200000001</v>
      </c>
      <c r="H18" cm="1">
        <f t="array" ref="H18">gett("T50",H$2,H$3,G18)</f>
        <v>0.46637600064736801</v>
      </c>
      <c r="J18">
        <v>3.8199300900000002</v>
      </c>
      <c r="K18" cm="1">
        <f t="array" ref="K18">gett("T50",K$2,K$3,J18)</f>
        <v>0.49127600361247037</v>
      </c>
    </row>
    <row r="19" spans="1:11" x14ac:dyDescent="0.25">
      <c r="A19">
        <v>2.3251734599999998</v>
      </c>
      <c r="B19" cm="1">
        <f t="array" ref="B19">gett("T50",B$2,B$3,A19)</f>
        <v>0.16464706296389245</v>
      </c>
      <c r="D19">
        <v>2.8083239199999999</v>
      </c>
      <c r="E19" cm="1">
        <f t="array" ref="E19">gett("T50",E$2,E$3,D19)</f>
        <v>0.27827899489363589</v>
      </c>
      <c r="G19">
        <v>4.8609054699999996</v>
      </c>
      <c r="H19" cm="1">
        <f t="array" ref="H19">gett("T50",H$2,H$3,G19)</f>
        <v>0.47716701590271038</v>
      </c>
      <c r="J19">
        <v>4.1685904699999998</v>
      </c>
      <c r="K19" cm="1">
        <f t="array" ref="K19">gett("T50",K$2,K$3,J19)</f>
        <v>0.50723102143766052</v>
      </c>
    </row>
    <row r="20" spans="1:11" x14ac:dyDescent="0.25">
      <c r="A20">
        <v>2.70583266</v>
      </c>
      <c r="B20" cm="1">
        <f t="array" ref="B20">gett("T50",B$2,B$3,A20)</f>
        <v>0.20697196991346395</v>
      </c>
      <c r="D20">
        <v>3.06425109</v>
      </c>
      <c r="E20" cm="1">
        <f t="array" ref="E20">gett("T50",E$2,E$3,D20)</f>
        <v>0.29470700543002748</v>
      </c>
      <c r="G20">
        <v>5.2422933499999997</v>
      </c>
      <c r="H20" cm="1">
        <f t="array" ref="H20">gett("T50",H$2,H$3,G20)</f>
        <v>0.48852400582937483</v>
      </c>
      <c r="J20">
        <v>4.4682388</v>
      </c>
      <c r="K20" cm="1">
        <f t="array" ref="K20">gett("T50",K$2,K$3,J20)</f>
        <v>0.51867299429002967</v>
      </c>
    </row>
    <row r="21" spans="1:11" x14ac:dyDescent="0.25">
      <c r="A21">
        <v>2.9452851899999999</v>
      </c>
      <c r="B21" cm="1">
        <f t="array" ref="B21">gett("T50",B$2,B$3,A21)</f>
        <v>0.22710101644194736</v>
      </c>
      <c r="D21">
        <v>3.3256592500000002</v>
      </c>
      <c r="E21" cm="1">
        <f t="array" ref="E21">gett("T50",E$2,E$3,D21)</f>
        <v>0.30935601403906848</v>
      </c>
      <c r="G21">
        <v>5.4820627100000001</v>
      </c>
      <c r="H21" cm="1">
        <f t="array" ref="H21">gett("T50",H$2,H$3,G21)</f>
        <v>0.49026999924269071</v>
      </c>
      <c r="J21">
        <v>4.7134257699999997</v>
      </c>
      <c r="K21" cm="1">
        <f t="array" ref="K21">gett("T50",K$2,K$3,J21)</f>
        <v>0.52523499241092253</v>
      </c>
    </row>
    <row r="22" spans="1:11" x14ac:dyDescent="0.25">
      <c r="A22">
        <v>3.1738708</v>
      </c>
      <c r="B22" cm="1">
        <f t="array" ref="B22">gett("T50",B$2,B$3,A22)</f>
        <v>0.24693298463785923</v>
      </c>
      <c r="D22">
        <v>3.5707511799999998</v>
      </c>
      <c r="E22" cm="1">
        <f t="array" ref="E22">gett("T50",E$2,E$3,D22)</f>
        <v>0.32177000626529606</v>
      </c>
      <c r="G22">
        <v>5.9070767000000002</v>
      </c>
      <c r="H22" cm="1">
        <f t="array" ref="H22">gett("T50",H$2,H$3,G22)</f>
        <v>0.49780198554795052</v>
      </c>
      <c r="J22">
        <v>5.0076248000000003</v>
      </c>
      <c r="K22" cm="1">
        <f t="array" ref="K22">gett("T50",K$2,K$3,J22)</f>
        <v>0.53703899261461274</v>
      </c>
    </row>
    <row r="23" spans="1:11" x14ac:dyDescent="0.25">
      <c r="A23">
        <v>3.4080007600000002</v>
      </c>
      <c r="B23" cm="1">
        <f t="array" ref="B23">gett("T50",B$2,B$3,A23)</f>
        <v>0.26142498703928235</v>
      </c>
      <c r="D23">
        <v>3.8758488099999999</v>
      </c>
      <c r="E23" cm="1">
        <f t="array" ref="E23">gett("T50",E$2,E$3,D23)</f>
        <v>0.32905499324805165</v>
      </c>
      <c r="J23">
        <v>5.3236527200000001</v>
      </c>
      <c r="K23" cm="1">
        <f t="array" ref="K23">gett("T50",K$2,K$3,J23)</f>
        <v>0.54440699694016448</v>
      </c>
    </row>
    <row r="24" spans="1:11" x14ac:dyDescent="0.25">
      <c r="A24">
        <v>3.6857251500000001</v>
      </c>
      <c r="B24" cm="1">
        <f t="array" ref="B24">gett("T50",B$2,B$3,A24)</f>
        <v>0.27694700904279157</v>
      </c>
      <c r="D24">
        <v>4.1318393499999999</v>
      </c>
      <c r="E24" cm="1">
        <f t="array" ref="E24">gett("T50",E$2,E$3,D24)</f>
        <v>0.34231501913474938</v>
      </c>
      <c r="J24">
        <v>5.5634220799999996</v>
      </c>
      <c r="K24" cm="1">
        <f t="array" ref="K24">gett("T50",K$2,K$3,J24)</f>
        <v>0.54635200087365943</v>
      </c>
    </row>
    <row r="25" spans="1:11" x14ac:dyDescent="0.25">
      <c r="A25">
        <v>4.0070122799999996</v>
      </c>
      <c r="B25" cm="1">
        <f t="array" ref="B25">gett("T50",B$2,B$3,A25)</f>
        <v>0.29621301416392631</v>
      </c>
      <c r="D25">
        <v>4.6329851800000004</v>
      </c>
      <c r="E25" cm="1">
        <f t="array" ref="E25">gett("T50",E$2,E$3,D25)</f>
        <v>0.3638470075574407</v>
      </c>
      <c r="J25">
        <v>5.9175000000000004</v>
      </c>
      <c r="K25" cm="1">
        <f t="array" ref="K25">gett("T50",K$2,K$3,J25)</f>
        <v>0.55912431344525604</v>
      </c>
    </row>
    <row r="26" spans="1:11" x14ac:dyDescent="0.25">
      <c r="A26">
        <v>4.3882734399999999</v>
      </c>
      <c r="B26" cm="1">
        <f t="array" ref="B26">gett("T50",B$2,B$3,A26)</f>
        <v>0.31428402848563253</v>
      </c>
      <c r="D26">
        <v>4.9108046200000004</v>
      </c>
      <c r="E26" cm="1">
        <f t="array" ref="E26">gett("T50",E$2,E$3,D26)</f>
        <v>0.37526798731994593</v>
      </c>
    </row>
    <row r="27" spans="1:11" x14ac:dyDescent="0.25">
      <c r="A27">
        <v>4.6060871700000003</v>
      </c>
      <c r="B27" cm="1">
        <f t="array" ref="B27">gett("T50",B$2,B$3,A27)</f>
        <v>0.32969301011921143</v>
      </c>
      <c r="D27">
        <v>5.1668585199999999</v>
      </c>
      <c r="E27" cm="1">
        <f t="array" ref="E27">gett("T50",E$2,E$3,D27)</f>
        <v>0.38348497914913832</v>
      </c>
    </row>
    <row r="28" spans="1:11" x14ac:dyDescent="0.25">
      <c r="A28">
        <v>4.8566600800000002</v>
      </c>
      <c r="B28" cm="1">
        <f t="array" ref="B28">gett("T50",B$2,B$3,A28)</f>
        <v>0.33990400299435652</v>
      </c>
      <c r="D28">
        <v>5.4174314399999997</v>
      </c>
      <c r="E28" cm="1">
        <f t="array" ref="E28">gett("T50",E$2,E$3,D28)</f>
        <v>0.39536201361336459</v>
      </c>
    </row>
    <row r="29" spans="1:11" x14ac:dyDescent="0.25">
      <c r="A29">
        <v>5.0908850899999996</v>
      </c>
      <c r="B29" cm="1">
        <f t="array" ref="B29">gett("T50",B$2,B$3,A29)</f>
        <v>0.35034600422627959</v>
      </c>
      <c r="D29">
        <v>5.6953459200000003</v>
      </c>
      <c r="E29" cm="1">
        <f t="array" ref="E29">gett("T50",E$2,E$3,D29)</f>
        <v>0.39700000019310933</v>
      </c>
    </row>
    <row r="30" spans="1:11" x14ac:dyDescent="0.25">
      <c r="A30">
        <v>5.4776589099999997</v>
      </c>
      <c r="B30" cm="1">
        <f t="array" ref="B30">gett("T50",B$2,B$3,A30)</f>
        <v>0.36517399773499926</v>
      </c>
      <c r="D30">
        <v>5.9513999999999996</v>
      </c>
      <c r="E30" cm="1">
        <f t="array" ref="E30">gett("T50",E$2,E$3,D30)</f>
        <v>0.40208523597817275</v>
      </c>
    </row>
    <row r="31" spans="1:11" x14ac:dyDescent="0.25">
      <c r="A31">
        <v>5.8259999999999996</v>
      </c>
      <c r="B31" cm="1">
        <f t="array" ref="B31">gett("T50",B$2,B$3,A31)</f>
        <v>0.36708034840526044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3B1F-C18A-4603-9569-CEFBE80FE022}">
  <sheetPr codeName="Foglio14">
    <pageSetUpPr fitToPage="1"/>
  </sheetPr>
  <dimension ref="A1:AU33"/>
  <sheetViews>
    <sheetView topLeftCell="D1" zoomScale="85" zoomScaleNormal="85" workbookViewId="0">
      <selection activeCell="M31" sqref="M31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1" t="s">
        <v>90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123</v>
      </c>
      <c r="B2">
        <v>2.5</v>
      </c>
      <c r="D2" t="s">
        <v>123</v>
      </c>
      <c r="E2">
        <v>2.5</v>
      </c>
      <c r="G2" t="s">
        <v>123</v>
      </c>
      <c r="H2">
        <v>2.5</v>
      </c>
      <c r="J2" t="s">
        <v>123</v>
      </c>
      <c r="K2">
        <v>2.5</v>
      </c>
      <c r="M2" s="42" t="s">
        <v>126</v>
      </c>
      <c r="N2" s="42"/>
    </row>
    <row r="3" spans="1:47" x14ac:dyDescent="0.25">
      <c r="A3" t="s">
        <v>83</v>
      </c>
      <c r="B3">
        <v>0.5</v>
      </c>
      <c r="D3" t="s">
        <v>83</v>
      </c>
      <c r="E3">
        <v>1</v>
      </c>
      <c r="G3" t="s">
        <v>83</v>
      </c>
      <c r="H3">
        <v>1.5</v>
      </c>
      <c r="J3" t="s">
        <v>83</v>
      </c>
      <c r="K3">
        <v>2</v>
      </c>
      <c r="M3" s="26" t="s">
        <v>101</v>
      </c>
      <c r="N3" s="26" t="s">
        <v>102</v>
      </c>
      <c r="O3" s="26" t="s">
        <v>83</v>
      </c>
    </row>
    <row r="4" spans="1:47" x14ac:dyDescent="0.25">
      <c r="A4" s="3" t="s">
        <v>124</v>
      </c>
      <c r="B4" s="15" t="s">
        <v>87</v>
      </c>
      <c r="D4" s="3" t="s">
        <v>124</v>
      </c>
      <c r="E4" s="15" t="s">
        <v>87</v>
      </c>
      <c r="F4" s="15"/>
      <c r="G4" s="3" t="s">
        <v>124</v>
      </c>
      <c r="H4" s="15" t="s">
        <v>87</v>
      </c>
      <c r="I4" s="15"/>
      <c r="J4" s="3" t="s">
        <v>124</v>
      </c>
      <c r="K4" s="15" t="s">
        <v>87</v>
      </c>
      <c r="M4" s="27">
        <f>ANALISI!C50</f>
        <v>2.6</v>
      </c>
      <c r="N4" s="27" cm="1">
        <f t="array" ref="N4">gett("T90",E$2,O$4,M4)</f>
        <v>5.405827942772571E-2</v>
      </c>
      <c r="O4" s="27">
        <v>0.5</v>
      </c>
    </row>
    <row r="5" spans="1:47" x14ac:dyDescent="0.25">
      <c r="A5">
        <v>0.52</v>
      </c>
      <c r="B5" cm="1">
        <f t="array" ref="B5">gett("T90",B$2,B$3,A5)</f>
        <v>2.8813728770611274E-3</v>
      </c>
      <c r="D5">
        <v>0.52</v>
      </c>
      <c r="E5" cm="1">
        <f t="array" ref="E5">gett("T90",E$2,E$3,D5)</f>
        <v>2.8856291784645962E-3</v>
      </c>
      <c r="G5">
        <v>0.52</v>
      </c>
      <c r="H5" cm="1">
        <f t="array" ref="H5">gett("T90",H$2,H$3,G5)</f>
        <v>0.10485616056430705</v>
      </c>
      <c r="J5">
        <v>0.52500000000000002</v>
      </c>
      <c r="K5" cm="1">
        <f t="array" ref="K5">gett("T90",K$2,K$3,J5)</f>
        <v>0.18978000000000003</v>
      </c>
      <c r="M5" s="28">
        <f>M4</f>
        <v>2.6</v>
      </c>
      <c r="N5" s="28" cm="1">
        <f t="array" ref="N5">gett("T90",E$2,O$5,M5)</f>
        <v>7.2950767196820976E-2</v>
      </c>
      <c r="O5" s="28">
        <v>1</v>
      </c>
    </row>
    <row r="6" spans="1:47" x14ac:dyDescent="0.25">
      <c r="A6">
        <v>0.5625</v>
      </c>
      <c r="B6" cm="1">
        <f t="array" ref="B6">gett("T90",B$2,B$3,A6)</f>
        <v>4.3700000000000006E-3</v>
      </c>
      <c r="D6">
        <v>0.55714286000000002</v>
      </c>
      <c r="E6" cm="1">
        <f t="array" ref="E6">gett("T90",E$2,E$3,D6)</f>
        <v>4.5109949338759409E-3</v>
      </c>
      <c r="G6">
        <v>0.71785714</v>
      </c>
      <c r="H6" cm="1">
        <f t="array" ref="H6">gett("T90",H$2,H$3,G6)</f>
        <v>0.11531800834045777</v>
      </c>
      <c r="J6">
        <v>0.69107143000000004</v>
      </c>
      <c r="K6" cm="1">
        <f t="array" ref="K6">gett("T90",K$2,K$3,J6)</f>
        <v>0.19781402255329458</v>
      </c>
      <c r="M6" s="27">
        <f>M5</f>
        <v>2.6</v>
      </c>
      <c r="N6" s="27" cm="1">
        <f t="array" ref="N6">gett("T90",E$2,O$6,M6)</f>
        <v>0.20426350652921615</v>
      </c>
      <c r="O6" s="27">
        <v>1.5</v>
      </c>
    </row>
    <row r="7" spans="1:47" x14ac:dyDescent="0.25">
      <c r="A7">
        <v>0.63214285999999997</v>
      </c>
      <c r="B7" cm="1">
        <f t="array" ref="B7">gett("T90",B$2,B$3,A7)</f>
        <v>6.0559969682797291E-3</v>
      </c>
      <c r="D7">
        <v>0.59464286</v>
      </c>
      <c r="E7" cm="1">
        <f t="array" ref="E7">gett("T90",E$2,E$3,D7)</f>
        <v>5.6809957298928123E-3</v>
      </c>
      <c r="G7">
        <v>0.9</v>
      </c>
      <c r="H7" cm="1">
        <f t="array" ref="H7">gett("T90",H$2,H$3,G7)</f>
        <v>0.12608500000000003</v>
      </c>
      <c r="J7">
        <v>0.87321428999999995</v>
      </c>
      <c r="K7" cm="1">
        <f t="array" ref="K7">gett("T90",K$2,K$3,J7)</f>
        <v>0.20622200980142474</v>
      </c>
      <c r="M7" s="28">
        <f>M6</f>
        <v>2.6</v>
      </c>
      <c r="N7" s="28" cm="1">
        <f t="array" ref="N7">gett("T90",E$2,O$7,M7)</f>
        <v>0.27502410338734279</v>
      </c>
      <c r="O7" s="28">
        <v>2</v>
      </c>
    </row>
    <row r="8" spans="1:47" x14ac:dyDescent="0.25">
      <c r="A8">
        <v>0.71250000000000002</v>
      </c>
      <c r="B8" cm="1">
        <f t="array" ref="B8">gett("T90",B$2,B$3,A8)</f>
        <v>8.0670000000000047E-3</v>
      </c>
      <c r="D8">
        <v>0.63214285999999997</v>
      </c>
      <c r="E8" cm="1">
        <f t="array" ref="E8">gett("T90",E$2,E$3,D8)</f>
        <v>6.9309952828613833E-3</v>
      </c>
      <c r="G8">
        <v>1.06607143</v>
      </c>
      <c r="H8" cm="1">
        <f t="array" ref="H8">gett("T90",H$2,H$3,G8)</f>
        <v>0.13459102232567244</v>
      </c>
      <c r="J8">
        <v>0.98571428999999999</v>
      </c>
      <c r="K8" cm="1">
        <f t="array" ref="K8">gett("T90",K$2,K$3,J8)</f>
        <v>0.20977301123797504</v>
      </c>
      <c r="M8" s="25"/>
      <c r="N8" s="25"/>
    </row>
    <row r="9" spans="1:47" x14ac:dyDescent="0.25">
      <c r="A9">
        <v>0.82499999999999996</v>
      </c>
      <c r="B9" cm="1">
        <f t="array" ref="B9">gett("T90",B$2,B$3,A9)</f>
        <v>1.1096000000000007E-2</v>
      </c>
      <c r="D9">
        <v>0.69107143000000004</v>
      </c>
      <c r="E9" cm="1">
        <f t="array" ref="E9">gett("T90",E$2,E$3,D9)</f>
        <v>8.8010140932980301E-3</v>
      </c>
      <c r="G9">
        <v>1.2749999999999999</v>
      </c>
      <c r="H9" cm="1">
        <f t="array" ref="H9">gett("T90",H$2,H$3,G9)</f>
        <v>0.14603500000000003</v>
      </c>
      <c r="J9">
        <v>1.15714286</v>
      </c>
      <c r="K9" cm="1">
        <f t="array" ref="K9">gett("T90",K$2,K$3,J9)</f>
        <v>0.21866499271206266</v>
      </c>
      <c r="M9" s="25"/>
      <c r="N9" s="25"/>
    </row>
    <row r="10" spans="1:47" x14ac:dyDescent="0.25">
      <c r="A10">
        <v>0.96428570999999996</v>
      </c>
      <c r="B10" cm="1">
        <f t="array" ref="B10">gett("T90",B$2,B$3,A10)</f>
        <v>1.4788992055949102E-2</v>
      </c>
      <c r="D10">
        <v>0.77142856999999998</v>
      </c>
      <c r="E10" cm="1">
        <f t="array" ref="E10">gett("T90",E$2,E$3,D10)</f>
        <v>1.1722984617118995E-2</v>
      </c>
      <c r="G10">
        <v>1.4785714299999999</v>
      </c>
      <c r="H10" cm="1">
        <f t="array" ref="H10">gett("T90",H$2,H$3,G10)</f>
        <v>0.15594801931723803</v>
      </c>
      <c r="J10">
        <v>1.28571429</v>
      </c>
      <c r="K10" cm="1">
        <f t="array" ref="K10">gett("T90",K$2,K$3,J10)</f>
        <v>0.22424101044697331</v>
      </c>
      <c r="M10" s="25"/>
      <c r="N10" s="25"/>
    </row>
    <row r="11" spans="1:47" x14ac:dyDescent="0.25">
      <c r="A11">
        <v>1.1142857100000001</v>
      </c>
      <c r="B11" cm="1">
        <f t="array" ref="B11">gett("T90",B$2,B$3,A11)</f>
        <v>1.9096991660581996E-2</v>
      </c>
      <c r="D11">
        <v>0.87857143000000004</v>
      </c>
      <c r="E11" cm="1">
        <f t="array" ref="E11">gett("T90",E$2,E$3,D11)</f>
        <v>1.5012012836898927E-2</v>
      </c>
      <c r="G11">
        <v>1.65</v>
      </c>
      <c r="H11" cm="1">
        <f t="array" ref="H11">gett("T90",H$2,H$3,G11)</f>
        <v>0.16385400000000003</v>
      </c>
      <c r="J11">
        <v>1.4624999999999999</v>
      </c>
      <c r="K11" cm="1">
        <f t="array" ref="K11">gett("T90",K$2,K$3,J11)</f>
        <v>0.23007600000000009</v>
      </c>
      <c r="M11" s="25"/>
      <c r="N11" s="25"/>
    </row>
    <row r="12" spans="1:47" x14ac:dyDescent="0.25">
      <c r="A12">
        <v>1.2749999999999999</v>
      </c>
      <c r="B12" cm="1">
        <f t="array" ref="B12">gett("T90",B$2,B$3,A12)</f>
        <v>2.3516000000000009E-2</v>
      </c>
      <c r="D12">
        <v>0.98035713999999996</v>
      </c>
      <c r="E12" cm="1">
        <f t="array" ref="E12">gett("T90",E$2,E$3,D12)</f>
        <v>1.8474005275351077E-2</v>
      </c>
      <c r="G12">
        <v>1.8696428599999999</v>
      </c>
      <c r="H12" cm="1">
        <f t="array" ref="H12">gett("T90",H$2,H$3,G12)</f>
        <v>0.17500699458913785</v>
      </c>
      <c r="J12">
        <v>1.63928571</v>
      </c>
      <c r="K12" cm="1">
        <f t="array" ref="K12">gett("T90",K$2,K$3,J12)</f>
        <v>0.2379459839546772</v>
      </c>
      <c r="M12" s="25"/>
      <c r="N12" s="25"/>
    </row>
    <row r="13" spans="1:47" x14ac:dyDescent="0.25">
      <c r="A13">
        <v>1.4785714299999999</v>
      </c>
      <c r="B13" cm="1">
        <f t="array" ref="B13">gett("T90",B$2,B$3,A13)</f>
        <v>2.8970011423603018E-2</v>
      </c>
      <c r="D13">
        <v>1.15714286</v>
      </c>
      <c r="E13" cm="1">
        <f t="array" ref="E13">gett("T90",E$2,E$3,D13)</f>
        <v>2.5426994926294119E-2</v>
      </c>
      <c r="G13">
        <v>2.0571428599999999</v>
      </c>
      <c r="H13" cm="1">
        <f t="array" ref="H13">gett("T90",H$2,H$3,G13)</f>
        <v>0.18101299433418755</v>
      </c>
      <c r="J13">
        <v>1.81607143</v>
      </c>
      <c r="K13" cm="1">
        <f t="array" ref="K13">gett("T90",K$2,K$3,J13)</f>
        <v>0.24804602055525454</v>
      </c>
      <c r="M13" s="25"/>
      <c r="N13" s="25"/>
    </row>
    <row r="14" spans="1:47" x14ac:dyDescent="0.25">
      <c r="A14">
        <v>1.70357143</v>
      </c>
      <c r="B14" cm="1">
        <f t="array" ref="B14">gett("T90",B$2,B$3,A14)</f>
        <v>3.485701112168868E-2</v>
      </c>
      <c r="D14">
        <v>1.3232142899999999</v>
      </c>
      <c r="E14" cm="1">
        <f t="array" ref="E14">gett("T90",E$2,E$3,D14)</f>
        <v>3.0819010028767895E-2</v>
      </c>
      <c r="G14">
        <v>2.28214286</v>
      </c>
      <c r="H14" cm="1">
        <f t="array" ref="H14">gett("T90",H$2,H$3,G14)</f>
        <v>0.19334399248007869</v>
      </c>
      <c r="J14">
        <v>2.1107142900000002</v>
      </c>
      <c r="K14" cm="1">
        <f t="array" ref="K14">gett("T90",K$2,K$3,J14)</f>
        <v>0.25685000860193513</v>
      </c>
    </row>
    <row r="15" spans="1:47" x14ac:dyDescent="0.25">
      <c r="A15">
        <v>1.90178571</v>
      </c>
      <c r="B15" cm="1">
        <f t="array" ref="B15">gett("T90",B$2,B$3,A15)</f>
        <v>3.9977992483506947E-2</v>
      </c>
      <c r="D15">
        <v>1.47321429</v>
      </c>
      <c r="E15" cm="1">
        <f t="array" ref="E15">gett("T90",E$2,E$3,D15)</f>
        <v>3.6759011773331136E-2</v>
      </c>
      <c r="G15">
        <v>2.4910714299999999</v>
      </c>
      <c r="H15" cm="1">
        <f t="array" ref="H15">gett("T90",H$2,H$3,G15)</f>
        <v>0.20161901200955315</v>
      </c>
      <c r="J15">
        <v>2.34642857</v>
      </c>
      <c r="K15" cm="1">
        <f t="array" ref="K15">gett("T90",K$2,K$3,J15)</f>
        <v>0.2658009828371613</v>
      </c>
    </row>
    <row r="16" spans="1:47" x14ac:dyDescent="0.25">
      <c r="A16">
        <v>2.1267857100000001</v>
      </c>
      <c r="B16" cm="1">
        <f t="array" ref="B16">gett("T90",B$2,B$3,A16)</f>
        <v>4.5501993799854361E-2</v>
      </c>
      <c r="D16">
        <v>1.6982142899999999</v>
      </c>
      <c r="E16" cm="1">
        <f t="array" ref="E16">gett("T90",E$2,E$3,D16)</f>
        <v>4.4938009916525211E-2</v>
      </c>
      <c r="G16">
        <v>2.7267857100000001</v>
      </c>
      <c r="H16" cm="1">
        <f t="array" ref="H16">gett("T90",H$2,H$3,G16)</f>
        <v>0.20699499334973417</v>
      </c>
      <c r="J16">
        <v>2.53392857</v>
      </c>
      <c r="K16" cm="1">
        <f t="array" ref="K16">gett("T90",K$2,K$3,J16)</f>
        <v>0.27274898491960176</v>
      </c>
    </row>
    <row r="17" spans="1:11" x14ac:dyDescent="0.25">
      <c r="A17">
        <v>2.3624999999999998</v>
      </c>
      <c r="B17" cm="1">
        <f t="array" ref="B17">gett("T90",B$2,B$3,A17)</f>
        <v>4.9779000000000004E-2</v>
      </c>
      <c r="D17">
        <v>1.9982142899999999</v>
      </c>
      <c r="E17" cm="1">
        <f t="array" ref="E17">gett("T90",E$2,E$3,D17)</f>
        <v>5.5417010349523683E-2</v>
      </c>
      <c r="G17">
        <v>3.0053571400000001</v>
      </c>
      <c r="H17" cm="1">
        <f t="array" ref="H17">gett("T90",H$2,H$3,G17)</f>
        <v>0.2143060036746218</v>
      </c>
      <c r="J17">
        <v>2.7749999999999999</v>
      </c>
      <c r="K17" cm="1">
        <f t="array" ref="K17">gett("T90",K$2,K$3,J17)</f>
        <v>0.28003800000000001</v>
      </c>
    </row>
    <row r="18" spans="1:11" x14ac:dyDescent="0.25">
      <c r="A18">
        <v>2.59821429</v>
      </c>
      <c r="B18" cm="1">
        <f t="array" ref="B18">gett("T90",B$2,B$3,A18)</f>
        <v>5.4027005082901911E-2</v>
      </c>
      <c r="D18">
        <v>2.2660714300000002</v>
      </c>
      <c r="E18" cm="1">
        <f t="array" ref="E18">gett("T90",E$2,E$3,D18)</f>
        <v>6.4624013213814072E-2</v>
      </c>
      <c r="G18">
        <v>3.21428571</v>
      </c>
      <c r="H18" cm="1">
        <f t="array" ref="H18">gett("T90",H$2,H$3,G18)</f>
        <v>0.21995799091748011</v>
      </c>
      <c r="J18">
        <v>2.9464285700000001</v>
      </c>
      <c r="K18" cm="1">
        <f t="array" ref="K18">gett("T90",K$2,K$3,J18)</f>
        <v>0.2827829945054437</v>
      </c>
    </row>
    <row r="19" spans="1:11" x14ac:dyDescent="0.25">
      <c r="A19">
        <v>2.8982142899999999</v>
      </c>
      <c r="B19" cm="1">
        <f t="array" ref="B19">gett("T90",B$2,B$3,A19)</f>
        <v>5.8678003998634438E-2</v>
      </c>
      <c r="D19">
        <v>2.5499999999999998</v>
      </c>
      <c r="E19" cm="1">
        <f t="array" ref="E19">gett("T90",E$2,E$3,D19)</f>
        <v>7.1867000000000014E-2</v>
      </c>
      <c r="G19">
        <v>3.4767857100000001</v>
      </c>
      <c r="H19" cm="1">
        <f t="array" ref="H19">gett("T90",H$2,H$3,G19)</f>
        <v>0.22768799551489802</v>
      </c>
      <c r="J19">
        <v>3.1392857099999998</v>
      </c>
      <c r="K19" cm="1">
        <f t="array" ref="K19">gett("T90",K$2,K$3,J19)</f>
        <v>0.28561999442106117</v>
      </c>
    </row>
    <row r="20" spans="1:11" x14ac:dyDescent="0.25">
      <c r="A20">
        <v>3.1660714300000001</v>
      </c>
      <c r="B20" cm="1">
        <f t="array" ref="B20">gett("T90",B$2,B$3,A20)</f>
        <v>6.2207005676137316E-2</v>
      </c>
      <c r="D20">
        <v>2.94107143</v>
      </c>
      <c r="E20" cm="1">
        <f t="array" ref="E20">gett("T90",E$2,E$3,D20)</f>
        <v>8.0012009032012235E-2</v>
      </c>
      <c r="G20">
        <v>3.72321429</v>
      </c>
      <c r="H20" cm="1">
        <f t="array" ref="H20">gett("T90",H$2,H$3,G20)</f>
        <v>0.22828300035013607</v>
      </c>
      <c r="J20">
        <v>3.3696428599999999</v>
      </c>
      <c r="K20" cm="1">
        <f t="array" ref="K20">gett("T90",K$2,K$3,J20)</f>
        <v>0.29089999696819591</v>
      </c>
    </row>
    <row r="21" spans="1:11" x14ac:dyDescent="0.25">
      <c r="A21">
        <v>3.4607142899999999</v>
      </c>
      <c r="B21" cm="1">
        <f t="array" ref="B21">gett("T90",B$2,B$3,A21)</f>
        <v>6.5968003204288778E-2</v>
      </c>
      <c r="D21">
        <v>3.2357142900000002</v>
      </c>
      <c r="E21" cm="1">
        <f t="array" ref="E21">gett("T90",E$2,E$3,D21)</f>
        <v>8.5525003676372099E-2</v>
      </c>
      <c r="G21">
        <v>3.9428571400000001</v>
      </c>
      <c r="H21" cm="1">
        <f t="array" ref="H21">gett("T90",H$2,H$3,G21)</f>
        <v>0.23063800283990082</v>
      </c>
      <c r="J21">
        <v>3.6696428600000002</v>
      </c>
      <c r="K21" cm="1">
        <f t="array" ref="K21">gett("T90",K$2,K$3,J21)</f>
        <v>0.29649699706356741</v>
      </c>
    </row>
    <row r="22" spans="1:11" x14ac:dyDescent="0.25">
      <c r="A22">
        <v>3.71785714</v>
      </c>
      <c r="B22" cm="1">
        <f t="array" ref="B22">gett("T90",B$2,B$3,A22)</f>
        <v>6.8283001065753149E-2</v>
      </c>
      <c r="D22">
        <v>3.4821428600000002</v>
      </c>
      <c r="E22" cm="1">
        <f t="array" ref="E22">gett("T90",E$2,E$3,D22)</f>
        <v>8.7815998459837313E-2</v>
      </c>
      <c r="G22">
        <v>4.2053571400000003</v>
      </c>
      <c r="H22" cm="1">
        <f t="array" ref="H22">gett("T90",H$2,H$3,G22)</f>
        <v>0.23685500262192591</v>
      </c>
      <c r="J22">
        <v>3.91071429</v>
      </c>
      <c r="K22" cm="1">
        <f t="array" ref="K22">gett("T90",K$2,K$3,J22)</f>
        <v>0.30201200591134575</v>
      </c>
    </row>
    <row r="23" spans="1:11" x14ac:dyDescent="0.25">
      <c r="A23">
        <v>3.9482142900000001</v>
      </c>
      <c r="B23" cm="1">
        <f t="array" ref="B23">gett("T90",B$2,B$3,A23)</f>
        <v>7.0099002633569482E-2</v>
      </c>
      <c r="D23">
        <v>3.7875000000000001</v>
      </c>
      <c r="E23" cm="1">
        <f t="array" ref="E23">gett("T90",E$2,E$3,D23)</f>
        <v>9.2398999999999981E-2</v>
      </c>
      <c r="G23">
        <v>4.4196428599999997</v>
      </c>
      <c r="H23" cm="1">
        <f t="array" ref="H23">gett("T90",H$2,H$3,G23)</f>
        <v>0.23928499892726848</v>
      </c>
      <c r="J23">
        <v>4.1464285700000003</v>
      </c>
      <c r="K23" cm="1">
        <f t="array" ref="K23">gett("T90",K$2,K$3,J23)</f>
        <v>0.30517999725540795</v>
      </c>
    </row>
    <row r="24" spans="1:11" x14ac:dyDescent="0.25">
      <c r="A24">
        <v>4.2</v>
      </c>
      <c r="B24" cm="1">
        <f t="array" ref="B24">gett("T90",B$2,B$3,A24)</f>
        <v>7.2555000000000008E-2</v>
      </c>
      <c r="D24">
        <v>4.1785714299999999</v>
      </c>
      <c r="E24" cm="1">
        <f t="array" ref="E24">gett("T90",E$2,E$3,D24)</f>
        <v>9.6539004730779351E-2</v>
      </c>
      <c r="G24">
        <v>4.7035714300000002</v>
      </c>
      <c r="H24" cm="1">
        <f t="array" ref="H24">gett("T90",H$2,H$3,G24)</f>
        <v>0.24191900534137889</v>
      </c>
      <c r="J24">
        <v>4.4464285700000001</v>
      </c>
      <c r="K24" cm="1">
        <f t="array" ref="K24">gett("T90",K$2,K$3,J24)</f>
        <v>0.30615099738976392</v>
      </c>
    </row>
    <row r="25" spans="1:11" x14ac:dyDescent="0.25">
      <c r="A25">
        <v>4.5214285700000003</v>
      </c>
      <c r="B25" cm="1">
        <f t="array" ref="B25">gett("T90",B$2,B$3,A25)</f>
        <v>7.455699784951908E-2</v>
      </c>
      <c r="D25">
        <v>4.5803571400000003</v>
      </c>
      <c r="E25" cm="1">
        <f t="array" ref="E25">gett("T90",E$2,E$3,D25)</f>
        <v>0.10168100160468624</v>
      </c>
      <c r="G25">
        <v>4.9124999999999996</v>
      </c>
      <c r="H25" cm="1">
        <f t="array" ref="H25">gett("T90",H$2,H$3,G25)</f>
        <v>0.24438700000000002</v>
      </c>
      <c r="J25">
        <v>4.9178571399999997</v>
      </c>
      <c r="K25" cm="1">
        <f t="array" ref="K25">gett("T90",K$2,K$3,J25)</f>
        <v>0.31260800209636902</v>
      </c>
    </row>
    <row r="26" spans="1:11" x14ac:dyDescent="0.25">
      <c r="A26">
        <v>4.7892857099999997</v>
      </c>
      <c r="B26" cm="1">
        <f t="array" ref="B26">gett("T90",B$2,B$3,A26)</f>
        <v>7.596499833732448E-2</v>
      </c>
      <c r="D26">
        <v>5.0250000000000004</v>
      </c>
      <c r="E26" cm="1">
        <f t="array" ref="E26">gett("T90",E$2,E$3,D26)</f>
        <v>0.10545800000000004</v>
      </c>
      <c r="G26">
        <v>5.2232142899999996</v>
      </c>
      <c r="H26" cm="1">
        <f t="array" ref="H26">gett("T90",H$2,H$3,G26)</f>
        <v>0.24519300197181412</v>
      </c>
      <c r="J26">
        <v>5.4428571400000001</v>
      </c>
      <c r="K26" cm="1">
        <f t="array" ref="K26">gett("T90",K$2,K$3,J26)</f>
        <v>0.31685600002089231</v>
      </c>
    </row>
    <row r="27" spans="1:11" x14ac:dyDescent="0.25">
      <c r="A27">
        <v>5.1375000000000002</v>
      </c>
      <c r="B27" cm="1">
        <f t="array" ref="B27">gett("T90",B$2,B$3,A27)</f>
        <v>7.8084000000000015E-2</v>
      </c>
      <c r="D27">
        <v>5.2821428600000004</v>
      </c>
      <c r="E27" cm="1">
        <f t="array" ref="E27">gett("T90",E$2,E$3,D27)</f>
        <v>0.10743799908034013</v>
      </c>
      <c r="G27">
        <v>5.5232142900000003</v>
      </c>
      <c r="H27" cm="1">
        <f t="array" ref="H27">gett("T90",H$2,H$3,G27)</f>
        <v>0.24793300034344848</v>
      </c>
      <c r="J27">
        <v>5.7374999999999998</v>
      </c>
      <c r="K27" cm="1">
        <f t="array" ref="K27">gett("T90",K$2,K$3,J27)</f>
        <v>0.31533200000000006</v>
      </c>
    </row>
    <row r="28" spans="1:11" x14ac:dyDescent="0.25">
      <c r="A28">
        <v>5.49642857</v>
      </c>
      <c r="B28" cm="1">
        <f t="array" ref="B28">gett("T90",B$2,B$3,A28)</f>
        <v>7.9635999102565025E-2</v>
      </c>
      <c r="D28">
        <v>5.5392857099999997</v>
      </c>
      <c r="E28" cm="1">
        <f t="array" ref="E28">gett("T90",E$2,E$3,D28)</f>
        <v>0.10858999927368987</v>
      </c>
      <c r="G28">
        <v>5.8446428600000004</v>
      </c>
      <c r="H28" cm="1">
        <f t="array" ref="H28">gett("T90",H$2,H$3,G28)</f>
        <v>0.24681099905900836</v>
      </c>
    </row>
    <row r="29" spans="1:11" x14ac:dyDescent="0.25">
      <c r="A29">
        <v>5.7267857099999997</v>
      </c>
      <c r="B29" cm="1">
        <f t="array" ref="B29">gett("T90",B$2,B$3,A29)</f>
        <v>7.9829999929621309E-2</v>
      </c>
      <c r="D29">
        <v>5.7374999999999998</v>
      </c>
      <c r="E29" cm="1">
        <f t="array" ref="E29">gett("T90",E$2,E$3,D29)</f>
        <v>0.10881799999999998</v>
      </c>
      <c r="G29">
        <v>5.9678000000000004</v>
      </c>
      <c r="H29" cm="1">
        <f t="array" ref="H29">gett("T90",H$2,H$3,G29)</f>
        <v>0.24910113102511228</v>
      </c>
    </row>
    <row r="30" spans="1:11" x14ac:dyDescent="0.25">
      <c r="A30">
        <v>5.94</v>
      </c>
      <c r="B30" cm="1">
        <f t="array" ref="B30">gett("T90",B$2,B$3,A30)</f>
        <v>8.0009846127441747E-2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F21"/>
  <sheetViews>
    <sheetView workbookViewId="0">
      <selection activeCell="D28" sqref="D28"/>
    </sheetView>
  </sheetViews>
  <sheetFormatPr defaultColWidth="8.7109375" defaultRowHeight="15" x14ac:dyDescent="0.25"/>
  <sheetData>
    <row r="1" spans="1:6" x14ac:dyDescent="0.25">
      <c r="A1" s="41" t="s">
        <v>93</v>
      </c>
      <c r="B1" s="41"/>
      <c r="C1" s="41"/>
      <c r="D1" s="41"/>
    </row>
    <row r="3" spans="1:6" x14ac:dyDescent="0.25">
      <c r="A3" s="3" t="s">
        <v>94</v>
      </c>
      <c r="B3" s="3" t="s">
        <v>95</v>
      </c>
      <c r="E3" s="42" t="s">
        <v>126</v>
      </c>
      <c r="F3" s="42"/>
    </row>
    <row r="4" spans="1:6" x14ac:dyDescent="0.25">
      <c r="A4">
        <v>0</v>
      </c>
      <c r="B4">
        <f>getqadim(A4)</f>
        <v>0</v>
      </c>
      <c r="E4" s="26" t="s">
        <v>101</v>
      </c>
      <c r="F4" s="26" t="s">
        <v>89</v>
      </c>
    </row>
    <row r="5" spans="1:6" x14ac:dyDescent="0.25">
      <c r="A5">
        <v>4.1760440000000003E-2</v>
      </c>
      <c r="B5">
        <f>getqadim(A5)</f>
        <v>7.5096864621595122E-2</v>
      </c>
      <c r="E5" s="27">
        <f>ANALISI!C68</f>
        <v>1.3</v>
      </c>
      <c r="F5" s="27">
        <f>IFERROR(getqadim(E5),"")</f>
        <v>1.427781338320802</v>
      </c>
    </row>
    <row r="6" spans="1:6" x14ac:dyDescent="0.25">
      <c r="A6">
        <v>0.17815168077733701</v>
      </c>
      <c r="B6">
        <f>getqadim(A6)</f>
        <v>0.38376924266523693</v>
      </c>
    </row>
    <row r="7" spans="1:6" x14ac:dyDescent="0.25">
      <c r="A7">
        <v>0.30396884935519602</v>
      </c>
      <c r="B7">
        <f>getqadim(A7)</f>
        <v>0.65908471481097952</v>
      </c>
    </row>
    <row r="8" spans="1:6" x14ac:dyDescent="0.25">
      <c r="A8">
        <v>0.408316364805487</v>
      </c>
      <c r="B8">
        <f>getqadim(A8)</f>
        <v>0.83017953606200412</v>
      </c>
    </row>
    <row r="9" spans="1:6" x14ac:dyDescent="0.25">
      <c r="A9">
        <v>0.52280927374700803</v>
      </c>
      <c r="B9">
        <f>getqadim(A9)</f>
        <v>0.98463232947960933</v>
      </c>
    </row>
    <row r="10" spans="1:6" x14ac:dyDescent="0.25">
      <c r="A10">
        <v>0.73028971528596398</v>
      </c>
      <c r="B10">
        <f>getqadim(A10)</f>
        <v>1.1851507719490446</v>
      </c>
    </row>
    <row r="11" spans="1:6" x14ac:dyDescent="0.25">
      <c r="A11">
        <v>0.93723430857714396</v>
      </c>
      <c r="B11">
        <f>getqadim(A11)</f>
        <v>1.3231681519305845</v>
      </c>
    </row>
    <row r="12" spans="1:6" x14ac:dyDescent="0.25">
      <c r="A12">
        <v>1.08173471939413</v>
      </c>
      <c r="B12">
        <f>getqadim(A12)</f>
        <v>1.3776959165110092</v>
      </c>
    </row>
    <row r="13" spans="1:6" x14ac:dyDescent="0.25">
      <c r="A13">
        <v>1.27760511556461</v>
      </c>
      <c r="B13">
        <f>getqadim(A13)</f>
        <v>1.4240190202172887</v>
      </c>
    </row>
    <row r="14" spans="1:6" x14ac:dyDescent="0.25">
      <c r="A14">
        <v>1.6071160647304701</v>
      </c>
      <c r="B14">
        <f>getqadim(A14)</f>
        <v>1.4581760042414491</v>
      </c>
    </row>
    <row r="15" spans="1:6" x14ac:dyDescent="0.25">
      <c r="A15">
        <v>1.9467724073875601</v>
      </c>
      <c r="B15">
        <f>getqadim(A15)</f>
        <v>1.4756920117324401</v>
      </c>
    </row>
    <row r="16" spans="1:6" x14ac:dyDescent="0.25">
      <c r="A16">
        <v>2.4303218661808299</v>
      </c>
      <c r="B16">
        <f>getqadim(A16)</f>
        <v>1.476901000686512</v>
      </c>
    </row>
    <row r="17" spans="1:2" x14ac:dyDescent="0.25">
      <c r="A17">
        <v>2.9241238881148899</v>
      </c>
      <c r="B17">
        <f>getqadim(A17)</f>
        <v>1.4739680021068864</v>
      </c>
    </row>
    <row r="18" spans="1:2" x14ac:dyDescent="0.25">
      <c r="A18">
        <v>3.3767013181866901</v>
      </c>
      <c r="B18">
        <f>getqadim(A18)</f>
        <v>1.4625999952890942</v>
      </c>
    </row>
    <row r="19" spans="1:2" x14ac:dyDescent="0.25">
      <c r="A19">
        <v>3.7470796270496201</v>
      </c>
      <c r="B19">
        <f>getqadim(A19)</f>
        <v>1.4635259943736212</v>
      </c>
    </row>
    <row r="20" spans="1:2" x14ac:dyDescent="0.25">
      <c r="A20">
        <v>4.2204122459186202</v>
      </c>
      <c r="B20">
        <f>getqadim(A20)</f>
        <v>1.4730430049414776</v>
      </c>
    </row>
    <row r="21" spans="1:2" x14ac:dyDescent="0.25">
      <c r="A21">
        <v>4.8994</v>
      </c>
      <c r="B21">
        <f>getqadim(A21)</f>
        <v>1.4747409925748154</v>
      </c>
    </row>
  </sheetData>
  <mergeCells count="2">
    <mergeCell ref="A1:D1"/>
    <mergeCell ref="E3:F3"/>
  </mergeCells>
  <pageMargins left="0.75" right="0.75" top="1" bottom="1" header="0.511811023622047" footer="0.511811023622047"/>
  <pageSetup fitToHeight="0" orientation="landscape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CCD38-E0A1-4F90-B070-3755AD919647}">
  <sheetPr codeName="Foglio15">
    <pageSetUpPr fitToPage="1"/>
  </sheetPr>
  <dimension ref="A1:AU33"/>
  <sheetViews>
    <sheetView zoomScale="70" zoomScaleNormal="70" workbookViewId="0">
      <selection activeCell="Z31" sqref="Z31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1" t="s">
        <v>90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123</v>
      </c>
      <c r="B2">
        <v>2.5</v>
      </c>
      <c r="D2" t="s">
        <v>123</v>
      </c>
      <c r="E2">
        <v>2.5</v>
      </c>
      <c r="G2" t="s">
        <v>123</v>
      </c>
      <c r="H2">
        <v>2.5</v>
      </c>
      <c r="J2" t="s">
        <v>123</v>
      </c>
      <c r="K2">
        <v>2.5</v>
      </c>
      <c r="M2" s="42" t="s">
        <v>126</v>
      </c>
      <c r="N2" s="42"/>
    </row>
    <row r="3" spans="1:47" x14ac:dyDescent="0.25">
      <c r="A3" t="s">
        <v>83</v>
      </c>
      <c r="B3">
        <v>0.5</v>
      </c>
      <c r="D3" t="s">
        <v>83</v>
      </c>
      <c r="E3">
        <v>1</v>
      </c>
      <c r="G3" t="s">
        <v>83</v>
      </c>
      <c r="H3">
        <v>1.5</v>
      </c>
      <c r="J3" t="s">
        <v>83</v>
      </c>
      <c r="K3">
        <v>2</v>
      </c>
      <c r="M3" s="26" t="s">
        <v>101</v>
      </c>
      <c r="N3" s="26" t="s">
        <v>102</v>
      </c>
      <c r="O3" s="26" t="s">
        <v>83</v>
      </c>
    </row>
    <row r="4" spans="1:47" x14ac:dyDescent="0.25">
      <c r="A4" s="3" t="s">
        <v>124</v>
      </c>
      <c r="B4" s="15" t="s">
        <v>87</v>
      </c>
      <c r="D4" s="3" t="s">
        <v>124</v>
      </c>
      <c r="E4" s="15" t="s">
        <v>87</v>
      </c>
      <c r="F4" s="15"/>
      <c r="G4" s="3" t="s">
        <v>124</v>
      </c>
      <c r="H4" s="15" t="s">
        <v>87</v>
      </c>
      <c r="I4" s="15"/>
      <c r="J4" s="3" t="s">
        <v>124</v>
      </c>
      <c r="K4" s="15" t="s">
        <v>87</v>
      </c>
      <c r="M4" s="27">
        <f>ANALISI!C50</f>
        <v>2.6</v>
      </c>
      <c r="N4" s="27" cm="1">
        <f t="array" ref="N4">gett("T50",E$2,O$4,M4)</f>
        <v>0.19704641230993944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2.0210043696370934E-3</v>
      </c>
      <c r="D5">
        <v>0.50082901000000002</v>
      </c>
      <c r="E5" cm="1">
        <f t="array" ref="E5">gett("T50",E$2,E$3,D5)</f>
        <v>5.3460005432961659E-3</v>
      </c>
      <c r="G5">
        <v>0.52070000000000005</v>
      </c>
      <c r="H5" cm="1">
        <f t="array" ref="H5">gett("T50",H$2,H$3,G5)</f>
        <v>0.1985733873920516</v>
      </c>
      <c r="J5">
        <v>0.51429999999999998</v>
      </c>
      <c r="K5" cm="1">
        <f t="array" ref="K5">gett("T50",K$2,K$3,J5)</f>
        <v>0.25951259032032836</v>
      </c>
      <c r="M5" s="28">
        <f>M4</f>
        <v>2.6</v>
      </c>
      <c r="N5" s="28" cm="1">
        <f t="array" ref="N5">gett("T50",E$2,O$5,M5)</f>
        <v>0.26359606146176162</v>
      </c>
      <c r="O5" s="28">
        <v>1</v>
      </c>
    </row>
    <row r="6" spans="1:47" x14ac:dyDescent="0.25">
      <c r="A6">
        <v>0.56837503</v>
      </c>
      <c r="B6" cm="1">
        <f t="array" ref="B6">gett("T50",B$2,B$3,A6)</f>
        <v>2.9170004664975588E-3</v>
      </c>
      <c r="D6">
        <v>0.52696666000000003</v>
      </c>
      <c r="E6" cm="1">
        <f t="array" ref="E6">gett("T50",E$2,E$3,D6)</f>
        <v>7.3089675421261959E-3</v>
      </c>
      <c r="G6">
        <v>0.78736099999999998</v>
      </c>
      <c r="H6" cm="1">
        <f t="array" ref="H6">gett("T50",H$2,H$3,G6)</f>
        <v>0.21992700000000007</v>
      </c>
      <c r="J6">
        <v>0.67761455999999998</v>
      </c>
      <c r="K6" cm="1">
        <f t="array" ref="K6">gett("T50",K$2,K$3,J6)</f>
        <v>0.27201497310090633</v>
      </c>
      <c r="M6" s="27">
        <f>M5</f>
        <v>2.6</v>
      </c>
      <c r="N6" s="27" cm="1">
        <f t="array" ref="N6">gett("T50",E$2,O$6,M6)</f>
        <v>0.37171557150582218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4.24799269503428E-3</v>
      </c>
      <c r="D7">
        <v>0.56352767999999998</v>
      </c>
      <c r="E7" cm="1">
        <f t="array" ref="E7">gett("T50",E$2,E$3,D7)</f>
        <v>1.1425963454025478E-2</v>
      </c>
      <c r="G7">
        <v>1.0159149199999999</v>
      </c>
      <c r="H7" cm="1">
        <f t="array" ref="H7">gett("T50",H$2,H$3,G7)</f>
        <v>0.24127599273528644</v>
      </c>
      <c r="J7">
        <v>0.92264312000000004</v>
      </c>
      <c r="K7" cm="1">
        <f t="array" ref="K7">gett("T50",K$2,K$3,J7)</f>
        <v>0.28802601051864113</v>
      </c>
      <c r="M7" s="28">
        <f>M6</f>
        <v>2.6</v>
      </c>
      <c r="N7" s="28" cm="1">
        <f t="array" ref="N7">gett("T50",E$2,O$7,M7)</f>
        <v>0.42411245232827782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6.07799782699489E-3</v>
      </c>
      <c r="D8">
        <v>0.63294293999999995</v>
      </c>
      <c r="E8" cm="1">
        <f t="array" ref="E8">gett("T50",E$2,E$3,D8)</f>
        <v>1.7089995630446015E-2</v>
      </c>
      <c r="G8">
        <v>1.3207274200000001</v>
      </c>
      <c r="H8" cm="1">
        <f t="array" ref="H8">gett("T50",H$2,H$3,G8)</f>
        <v>0.26737403604303528</v>
      </c>
      <c r="J8">
        <v>1.0913814399999999</v>
      </c>
      <c r="K8" cm="1">
        <f t="array" ref="K8">gett("T50",K$2,K$3,J8)</f>
        <v>0.3046330397125705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8.6980117377100773E-3</v>
      </c>
      <c r="D9">
        <v>0.71867442999999998</v>
      </c>
      <c r="E9" cm="1">
        <f t="array" ref="E9">gett("T50",E$2,E$3,D9)</f>
        <v>2.5799050010828568E-2</v>
      </c>
      <c r="G9">
        <v>1.6092236900000001</v>
      </c>
      <c r="H9" cm="1">
        <f t="array" ref="H9">gett("T50",H$2,H$3,G9)</f>
        <v>0.29359097053663646</v>
      </c>
      <c r="J9">
        <v>1.3364100000000001</v>
      </c>
      <c r="K9" cm="1">
        <f t="array" ref="K9">gett("T50",K$2,K$3,J9)</f>
        <v>0.32256400000000007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1.2561020562428315E-2</v>
      </c>
      <c r="D10">
        <v>0.8371651</v>
      </c>
      <c r="E10" cm="1">
        <f t="array" ref="E10">gett("T50",E$2,E$3,D10)</f>
        <v>3.8275009716070126E-2</v>
      </c>
      <c r="G10">
        <v>1.91951717</v>
      </c>
      <c r="H10" cm="1">
        <f t="array" ref="H10">gett("T50",H$2,H$3,G10)</f>
        <v>0.32248301450793188</v>
      </c>
      <c r="J10">
        <v>1.5596096800000001</v>
      </c>
      <c r="K10" cm="1">
        <f t="array" ref="K10">gett("T50",K$2,K$3,J10)</f>
        <v>0.34449996835099445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1.7821015241072151E-2</v>
      </c>
      <c r="D11">
        <v>0.99395929999999999</v>
      </c>
      <c r="E11" cm="1">
        <f t="array" ref="E11">gett("T50",E$2,E$3,D11)</f>
        <v>5.4336035196335578E-2</v>
      </c>
      <c r="G11">
        <v>2.2625698299999999</v>
      </c>
      <c r="H11" cm="1">
        <f t="array" ref="H11">gett("T50",H$2,H$3,G11)</f>
        <v>0.34812098816608988</v>
      </c>
      <c r="J11">
        <v>1.7991889400000001</v>
      </c>
      <c r="K11" cm="1">
        <f t="array" ref="K11">gett("T50",K$2,K$3,J11)</f>
        <v>0.36474799556220783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2.4612986385380314E-2</v>
      </c>
      <c r="D12">
        <v>1.1562344899999999</v>
      </c>
      <c r="E12" cm="1">
        <f t="array" ref="E12">gett("T50",E$2,E$3,D12)</f>
        <v>7.6458068858694259E-2</v>
      </c>
      <c r="G12">
        <v>2.6111034800000001</v>
      </c>
      <c r="H12" cm="1">
        <f t="array" ref="H12">gett("T50",H$2,H$3,G12)</f>
        <v>0.37248903342294459</v>
      </c>
      <c r="J12">
        <v>2.02790128</v>
      </c>
      <c r="K12" cm="1">
        <f t="array" ref="K12">gett("T50",K$2,K$3,J12)</f>
        <v>0.38269302634840208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3.4003961259843341E-2</v>
      </c>
      <c r="D13">
        <v>1.3405603500000001</v>
      </c>
      <c r="E13" cm="1">
        <f t="array" ref="E13">gett("T50",E$2,E$3,D13)</f>
        <v>0.10020504456037481</v>
      </c>
      <c r="G13">
        <v>2.9977822600000001</v>
      </c>
      <c r="H13" cm="1">
        <f t="array" ref="H13">gett("T50",H$2,H$3,G13)</f>
        <v>0.39878901709848236</v>
      </c>
      <c r="J13">
        <v>2.3328088199999999</v>
      </c>
      <c r="K13" cm="1">
        <f t="array" ref="K13">gett("T50",K$2,K$3,J13)</f>
        <v>0.41288398742526428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4.7832946246627525E-2</v>
      </c>
      <c r="D14">
        <v>1.57389826</v>
      </c>
      <c r="E14" cm="1">
        <f t="array" ref="E14">gett("T50",E$2,E$3,D14)</f>
        <v>0.13260303757471215</v>
      </c>
      <c r="G14">
        <v>3.3354806699999999</v>
      </c>
      <c r="H14" cm="1">
        <f t="array" ref="H14">gett("T50",H$2,H$3,G14)</f>
        <v>0.41908798309750089</v>
      </c>
      <c r="J14">
        <v>2.6378747699999998</v>
      </c>
      <c r="K14" cm="1">
        <f t="array" ref="K14">gett("T50",K$2,K$3,J14)</f>
        <v>0.42601598702588378</v>
      </c>
    </row>
    <row r="15" spans="1:47" x14ac:dyDescent="0.25">
      <c r="A15">
        <v>1.56017995</v>
      </c>
      <c r="B15" cm="1">
        <f t="array" ref="B15">gett("T50",B$2,B$3,A15)</f>
        <v>6.3205994118915421E-2</v>
      </c>
      <c r="D15">
        <v>1.7965593399999999</v>
      </c>
      <c r="E15" cm="1">
        <f t="array" ref="E15">gett("T50",E$2,E$3,D15)</f>
        <v>0.16482205017751844</v>
      </c>
      <c r="G15">
        <v>3.6296480099999999</v>
      </c>
      <c r="H15" cm="1">
        <f t="array" ref="H15">gett("T50",H$2,H$3,G15)</f>
        <v>0.43234800043611304</v>
      </c>
      <c r="J15">
        <v>2.8720680999999999</v>
      </c>
      <c r="K15" cm="1">
        <f t="array" ref="K15">gett("T50",K$2,K$3,J15)</f>
        <v>0.44304000621555478</v>
      </c>
    </row>
    <row r="16" spans="1:47" x14ac:dyDescent="0.25">
      <c r="A16">
        <v>1.7389297800000001</v>
      </c>
      <c r="B16" cm="1">
        <f t="array" ref="B16">gett("T50",B$2,B$3,A16)</f>
        <v>8.584096911969484E-2</v>
      </c>
      <c r="D16">
        <v>2.0247964399999998</v>
      </c>
      <c r="E16" cm="1">
        <f t="array" ref="E16">gett("T50",E$2,E$3,D16)</f>
        <v>0.19770105664346133</v>
      </c>
      <c r="G16">
        <v>3.9456125700000002</v>
      </c>
      <c r="H16" cm="1">
        <f t="array" ref="H16">gett("T50",H$2,H$3,G16)</f>
        <v>0.44617198266716435</v>
      </c>
      <c r="J16">
        <v>3.2370763899999999</v>
      </c>
      <c r="K16" cm="1">
        <f t="array" ref="K16">gett("T50",K$2,K$3,J16)</f>
        <v>0.45754002189722848</v>
      </c>
    </row>
    <row r="17" spans="1:11" x14ac:dyDescent="0.25">
      <c r="A17">
        <v>1.91238872</v>
      </c>
      <c r="B17" cm="1">
        <f t="array" ref="B17">gett("T50",B$2,B$3,A17)</f>
        <v>0.11148596077731562</v>
      </c>
      <c r="D17">
        <v>2.2641222499999998</v>
      </c>
      <c r="E17" cm="1">
        <f t="array" ref="E17">gett("T50",E$2,E$3,D17)</f>
        <v>0.22481102871781575</v>
      </c>
      <c r="G17">
        <v>4.2180143799999996</v>
      </c>
      <c r="H17" cm="1">
        <f t="array" ref="H17">gett("T50",H$2,H$3,G17)</f>
        <v>0.45605101306603252</v>
      </c>
      <c r="J17">
        <v>3.48761762</v>
      </c>
      <c r="K17" cm="1">
        <f t="array" ref="K17">gett("T50",K$2,K$3,J17)</f>
        <v>0.4759389740336637</v>
      </c>
    </row>
    <row r="18" spans="1:11" x14ac:dyDescent="0.25">
      <c r="A18">
        <v>2.1241828699999998</v>
      </c>
      <c r="B18" cm="1">
        <f t="array" ref="B18">gett("T50",B$2,B$3,A18)</f>
        <v>0.13732098403165646</v>
      </c>
      <c r="D18">
        <v>2.5415614999999998</v>
      </c>
      <c r="E18" cm="1">
        <f t="array" ref="E18">gett("T50",E$2,E$3,D18)</f>
        <v>0.25807705136692605</v>
      </c>
      <c r="G18">
        <v>4.5231120200000001</v>
      </c>
      <c r="H18" cm="1">
        <f t="array" ref="H18">gett("T50",H$2,H$3,G18)</f>
        <v>0.46637600064736801</v>
      </c>
      <c r="J18">
        <v>3.8199300900000002</v>
      </c>
      <c r="K18" cm="1">
        <f t="array" ref="K18">gett("T50",K$2,K$3,J18)</f>
        <v>0.49127600361247037</v>
      </c>
    </row>
    <row r="19" spans="1:11" x14ac:dyDescent="0.25">
      <c r="A19">
        <v>2.3251734599999998</v>
      </c>
      <c r="B19" cm="1">
        <f t="array" ref="B19">gett("T50",B$2,B$3,A19)</f>
        <v>0.16464706296389245</v>
      </c>
      <c r="D19">
        <v>2.8083239199999999</v>
      </c>
      <c r="E19" cm="1">
        <f t="array" ref="E19">gett("T50",E$2,E$3,D19)</f>
        <v>0.27827899489363589</v>
      </c>
      <c r="G19">
        <v>4.8609054699999996</v>
      </c>
      <c r="H19" cm="1">
        <f t="array" ref="H19">gett("T50",H$2,H$3,G19)</f>
        <v>0.47716701590271038</v>
      </c>
      <c r="J19">
        <v>4.1685904699999998</v>
      </c>
      <c r="K19" cm="1">
        <f t="array" ref="K19">gett("T50",K$2,K$3,J19)</f>
        <v>0.50723102143766052</v>
      </c>
    </row>
    <row r="20" spans="1:11" x14ac:dyDescent="0.25">
      <c r="A20">
        <v>2.70583266</v>
      </c>
      <c r="B20" cm="1">
        <f t="array" ref="B20">gett("T50",B$2,B$3,A20)</f>
        <v>0.20697196991346395</v>
      </c>
      <c r="D20">
        <v>3.06425109</v>
      </c>
      <c r="E20" cm="1">
        <f t="array" ref="E20">gett("T50",E$2,E$3,D20)</f>
        <v>0.29470700543002748</v>
      </c>
      <c r="G20">
        <v>5.2422933499999997</v>
      </c>
      <c r="H20" cm="1">
        <f t="array" ref="H20">gett("T50",H$2,H$3,G20)</f>
        <v>0.48852400582937483</v>
      </c>
      <c r="J20">
        <v>4.4682388</v>
      </c>
      <c r="K20" cm="1">
        <f t="array" ref="K20">gett("T50",K$2,K$3,J20)</f>
        <v>0.51867299429002967</v>
      </c>
    </row>
    <row r="21" spans="1:11" x14ac:dyDescent="0.25">
      <c r="A21">
        <v>2.9452851899999999</v>
      </c>
      <c r="B21" cm="1">
        <f t="array" ref="B21">gett("T50",B$2,B$3,A21)</f>
        <v>0.22710101644194736</v>
      </c>
      <c r="D21">
        <v>3.3256592500000002</v>
      </c>
      <c r="E21" cm="1">
        <f t="array" ref="E21">gett("T50",E$2,E$3,D21)</f>
        <v>0.30935601403906848</v>
      </c>
      <c r="G21">
        <v>5.4820627100000001</v>
      </c>
      <c r="H21" cm="1">
        <f t="array" ref="H21">gett("T50",H$2,H$3,G21)</f>
        <v>0.49026999924269071</v>
      </c>
      <c r="J21">
        <v>4.7134257699999997</v>
      </c>
      <c r="K21" cm="1">
        <f t="array" ref="K21">gett("T50",K$2,K$3,J21)</f>
        <v>0.52523499241092253</v>
      </c>
    </row>
    <row r="22" spans="1:11" x14ac:dyDescent="0.25">
      <c r="A22">
        <v>3.1738708</v>
      </c>
      <c r="B22" cm="1">
        <f t="array" ref="B22">gett("T50",B$2,B$3,A22)</f>
        <v>0.24693298463785923</v>
      </c>
      <c r="D22">
        <v>3.5707511799999998</v>
      </c>
      <c r="E22" cm="1">
        <f t="array" ref="E22">gett("T50",E$2,E$3,D22)</f>
        <v>0.32177000626529606</v>
      </c>
      <c r="G22">
        <v>5.9070767000000002</v>
      </c>
      <c r="H22" cm="1">
        <f t="array" ref="H22">gett("T50",H$2,H$3,G22)</f>
        <v>0.49780198554795052</v>
      </c>
      <c r="J22">
        <v>5.0076248000000003</v>
      </c>
      <c r="K22" cm="1">
        <f t="array" ref="K22">gett("T50",K$2,K$3,J22)</f>
        <v>0.53703899261461274</v>
      </c>
    </row>
    <row r="23" spans="1:11" x14ac:dyDescent="0.25">
      <c r="A23">
        <v>3.4080007600000002</v>
      </c>
      <c r="B23" cm="1">
        <f t="array" ref="B23">gett("T50",B$2,B$3,A23)</f>
        <v>0.26142498703928235</v>
      </c>
      <c r="D23">
        <v>3.8758488099999999</v>
      </c>
      <c r="E23" cm="1">
        <f t="array" ref="E23">gett("T50",E$2,E$3,D23)</f>
        <v>0.32905499324805165</v>
      </c>
      <c r="J23">
        <v>5.3236527200000001</v>
      </c>
      <c r="K23" cm="1">
        <f t="array" ref="K23">gett("T50",K$2,K$3,J23)</f>
        <v>0.54440699694016448</v>
      </c>
    </row>
    <row r="24" spans="1:11" x14ac:dyDescent="0.25">
      <c r="A24">
        <v>3.6857251500000001</v>
      </c>
      <c r="B24" cm="1">
        <f t="array" ref="B24">gett("T50",B$2,B$3,A24)</f>
        <v>0.27694700904279157</v>
      </c>
      <c r="D24">
        <v>4.1318393499999999</v>
      </c>
      <c r="E24" cm="1">
        <f t="array" ref="E24">gett("T50",E$2,E$3,D24)</f>
        <v>0.34231501913474938</v>
      </c>
      <c r="J24">
        <v>5.5634220799999996</v>
      </c>
      <c r="K24" cm="1">
        <f t="array" ref="K24">gett("T50",K$2,K$3,J24)</f>
        <v>0.54635200087365943</v>
      </c>
    </row>
    <row r="25" spans="1:11" x14ac:dyDescent="0.25">
      <c r="A25">
        <v>4.0070122799999996</v>
      </c>
      <c r="B25" cm="1">
        <f t="array" ref="B25">gett("T50",B$2,B$3,A25)</f>
        <v>0.29621301416392631</v>
      </c>
      <c r="D25">
        <v>4.6329851800000004</v>
      </c>
      <c r="E25" cm="1">
        <f t="array" ref="E25">gett("T50",E$2,E$3,D25)</f>
        <v>0.3638470075574407</v>
      </c>
      <c r="J25">
        <v>5.9175000000000004</v>
      </c>
      <c r="K25" cm="1">
        <f t="array" ref="K25">gett("T50",K$2,K$3,J25)</f>
        <v>0.55912431344525604</v>
      </c>
    </row>
    <row r="26" spans="1:11" x14ac:dyDescent="0.25">
      <c r="A26">
        <v>4.3882734399999999</v>
      </c>
      <c r="B26" cm="1">
        <f t="array" ref="B26">gett("T50",B$2,B$3,A26)</f>
        <v>0.31428402848563253</v>
      </c>
      <c r="D26">
        <v>4.9108046200000004</v>
      </c>
      <c r="E26" cm="1">
        <f t="array" ref="E26">gett("T50",E$2,E$3,D26)</f>
        <v>0.37526798731994593</v>
      </c>
    </row>
    <row r="27" spans="1:11" x14ac:dyDescent="0.25">
      <c r="A27">
        <v>4.6060871700000003</v>
      </c>
      <c r="B27" cm="1">
        <f t="array" ref="B27">gett("T50",B$2,B$3,A27)</f>
        <v>0.32969301011921143</v>
      </c>
      <c r="D27">
        <v>5.1668585199999999</v>
      </c>
      <c r="E27" cm="1">
        <f t="array" ref="E27">gett("T50",E$2,E$3,D27)</f>
        <v>0.38348497914913832</v>
      </c>
    </row>
    <row r="28" spans="1:11" x14ac:dyDescent="0.25">
      <c r="A28">
        <v>4.8566600800000002</v>
      </c>
      <c r="B28" cm="1">
        <f t="array" ref="B28">gett("T50",B$2,B$3,A28)</f>
        <v>0.33990400299435652</v>
      </c>
      <c r="D28">
        <v>5.4174314399999997</v>
      </c>
      <c r="E28" cm="1">
        <f t="array" ref="E28">gett("T50",E$2,E$3,D28)</f>
        <v>0.39536201361336459</v>
      </c>
    </row>
    <row r="29" spans="1:11" x14ac:dyDescent="0.25">
      <c r="A29">
        <v>5.0908850899999996</v>
      </c>
      <c r="B29" cm="1">
        <f t="array" ref="B29">gett("T50",B$2,B$3,A29)</f>
        <v>0.35034600422627959</v>
      </c>
      <c r="D29">
        <v>5.6953459200000003</v>
      </c>
      <c r="E29" cm="1">
        <f t="array" ref="E29">gett("T50",E$2,E$3,D29)</f>
        <v>0.39700000019310933</v>
      </c>
    </row>
    <row r="30" spans="1:11" x14ac:dyDescent="0.25">
      <c r="A30">
        <v>5.4776589099999997</v>
      </c>
      <c r="B30" cm="1">
        <f t="array" ref="B30">gett("T50",B$2,B$3,A30)</f>
        <v>0.36517399773499926</v>
      </c>
      <c r="D30">
        <v>5.9513999999999996</v>
      </c>
      <c r="E30" cm="1">
        <f t="array" ref="E30">gett("T50",E$2,E$3,D30)</f>
        <v>0.40208523597817275</v>
      </c>
    </row>
    <row r="31" spans="1:11" x14ac:dyDescent="0.25">
      <c r="A31">
        <v>5.8259999999999996</v>
      </c>
      <c r="B31" cm="1">
        <f t="array" ref="B31">gett("T50",B$2,B$3,A31)</f>
        <v>0.36708034840526044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E599"/>
  <sheetViews>
    <sheetView workbookViewId="0"/>
  </sheetViews>
  <sheetFormatPr defaultColWidth="8.7109375" defaultRowHeight="15" x14ac:dyDescent="0.25"/>
  <sheetData>
    <row r="1" spans="1:5" x14ac:dyDescent="0.25">
      <c r="A1" s="2" t="s">
        <v>81</v>
      </c>
      <c r="B1" s="2" t="s">
        <v>82</v>
      </c>
      <c r="C1" s="2" t="s">
        <v>83</v>
      </c>
      <c r="D1" s="2" t="s">
        <v>84</v>
      </c>
      <c r="E1" s="2" t="s">
        <v>85</v>
      </c>
    </row>
    <row r="2" spans="1:5" x14ac:dyDescent="0.25">
      <c r="A2" t="s">
        <v>86</v>
      </c>
      <c r="B2">
        <v>1</v>
      </c>
      <c r="C2">
        <v>0.5</v>
      </c>
      <c r="D2">
        <v>0.53713699999999998</v>
      </c>
      <c r="E2">
        <v>0.99767600000000001</v>
      </c>
    </row>
    <row r="3" spans="1:5" x14ac:dyDescent="0.25">
      <c r="A3" t="s">
        <v>86</v>
      </c>
      <c r="B3">
        <v>1</v>
      </c>
      <c r="C3">
        <v>0.5</v>
      </c>
      <c r="D3">
        <v>0.79268300000000003</v>
      </c>
      <c r="E3">
        <v>0.973889</v>
      </c>
    </row>
    <row r="4" spans="1:5" x14ac:dyDescent="0.25">
      <c r="A4" t="s">
        <v>86</v>
      </c>
      <c r="B4">
        <v>1</v>
      </c>
      <c r="C4">
        <v>0.5</v>
      </c>
      <c r="D4">
        <v>1.0186599999999999</v>
      </c>
      <c r="E4">
        <v>0.94300700000000004</v>
      </c>
    </row>
    <row r="5" spans="1:5" x14ac:dyDescent="0.25">
      <c r="A5" t="s">
        <v>86</v>
      </c>
      <c r="B5">
        <v>1</v>
      </c>
      <c r="C5">
        <v>0.5</v>
      </c>
      <c r="D5">
        <v>1.18527</v>
      </c>
      <c r="E5">
        <v>0.91348200000000002</v>
      </c>
    </row>
    <row r="6" spans="1:5" x14ac:dyDescent="0.25">
      <c r="A6" t="s">
        <v>86</v>
      </c>
      <c r="B6">
        <v>1</v>
      </c>
      <c r="C6">
        <v>0.5</v>
      </c>
      <c r="D6">
        <v>1.346009</v>
      </c>
      <c r="E6">
        <v>0.87971100000000002</v>
      </c>
    </row>
    <row r="7" spans="1:5" x14ac:dyDescent="0.25">
      <c r="A7" t="s">
        <v>86</v>
      </c>
      <c r="B7">
        <v>1</v>
      </c>
      <c r="C7">
        <v>0.5</v>
      </c>
      <c r="D7">
        <v>1.461989</v>
      </c>
      <c r="E7">
        <v>0.85151200000000005</v>
      </c>
    </row>
    <row r="8" spans="1:5" x14ac:dyDescent="0.25">
      <c r="A8" t="s">
        <v>86</v>
      </c>
      <c r="B8">
        <v>1</v>
      </c>
      <c r="C8">
        <v>0.5</v>
      </c>
      <c r="D8">
        <v>1.6109519999999999</v>
      </c>
      <c r="E8">
        <v>0.81140900000000005</v>
      </c>
    </row>
    <row r="9" spans="1:5" x14ac:dyDescent="0.25">
      <c r="A9" t="s">
        <v>86</v>
      </c>
      <c r="B9">
        <v>1</v>
      </c>
      <c r="C9">
        <v>0.5</v>
      </c>
      <c r="D9">
        <v>1.722693</v>
      </c>
      <c r="E9">
        <v>0.78010500000000005</v>
      </c>
    </row>
    <row r="10" spans="1:5" x14ac:dyDescent="0.25">
      <c r="A10" t="s">
        <v>86</v>
      </c>
      <c r="B10">
        <v>1</v>
      </c>
      <c r="C10">
        <v>0.5</v>
      </c>
      <c r="D10">
        <v>1.875777</v>
      </c>
      <c r="E10">
        <v>0.74000600000000005</v>
      </c>
    </row>
    <row r="11" spans="1:5" x14ac:dyDescent="0.25">
      <c r="A11" t="s">
        <v>86</v>
      </c>
      <c r="B11">
        <v>1</v>
      </c>
      <c r="C11">
        <v>0.5</v>
      </c>
      <c r="D11">
        <v>2.0495549999999998</v>
      </c>
      <c r="E11">
        <v>0.69403700000000002</v>
      </c>
    </row>
    <row r="12" spans="1:5" x14ac:dyDescent="0.25">
      <c r="A12" t="s">
        <v>86</v>
      </c>
      <c r="B12">
        <v>1</v>
      </c>
      <c r="C12">
        <v>0.5</v>
      </c>
      <c r="D12">
        <v>2.239789</v>
      </c>
      <c r="E12">
        <v>0.65004600000000001</v>
      </c>
    </row>
    <row r="13" spans="1:5" x14ac:dyDescent="0.25">
      <c r="A13" t="s">
        <v>86</v>
      </c>
      <c r="B13">
        <v>1</v>
      </c>
      <c r="C13">
        <v>0.5</v>
      </c>
      <c r="D13">
        <v>2.4010280000000002</v>
      </c>
      <c r="E13">
        <v>0.61584399999999995</v>
      </c>
    </row>
    <row r="14" spans="1:5" x14ac:dyDescent="0.25">
      <c r="A14" t="s">
        <v>86</v>
      </c>
      <c r="B14">
        <v>1</v>
      </c>
      <c r="C14">
        <v>0.5</v>
      </c>
      <c r="D14">
        <v>2.5746020000000001</v>
      </c>
      <c r="E14">
        <v>0.58361700000000005</v>
      </c>
    </row>
    <row r="15" spans="1:5" x14ac:dyDescent="0.25">
      <c r="A15" t="s">
        <v>86</v>
      </c>
      <c r="B15">
        <v>1</v>
      </c>
      <c r="C15">
        <v>0.5</v>
      </c>
      <c r="D15">
        <v>2.7316479999999999</v>
      </c>
      <c r="E15">
        <v>0.55431799999999998</v>
      </c>
    </row>
    <row r="16" spans="1:5" x14ac:dyDescent="0.25">
      <c r="A16" t="s">
        <v>86</v>
      </c>
      <c r="B16">
        <v>1</v>
      </c>
      <c r="C16">
        <v>0.5</v>
      </c>
      <c r="D16">
        <v>2.9381919999999999</v>
      </c>
      <c r="E16">
        <v>0.52212199999999998</v>
      </c>
    </row>
    <row r="17" spans="1:5" x14ac:dyDescent="0.25">
      <c r="A17" t="s">
        <v>86</v>
      </c>
      <c r="B17">
        <v>1</v>
      </c>
      <c r="C17">
        <v>0.5</v>
      </c>
      <c r="D17">
        <v>3.2231860000000001</v>
      </c>
      <c r="E17">
        <v>0.480184</v>
      </c>
    </row>
    <row r="18" spans="1:5" x14ac:dyDescent="0.25">
      <c r="A18" t="s">
        <v>86</v>
      </c>
      <c r="B18">
        <v>1</v>
      </c>
      <c r="C18">
        <v>0.5</v>
      </c>
      <c r="D18">
        <v>3.4131580000000001</v>
      </c>
      <c r="E18">
        <v>0.45386100000000001</v>
      </c>
    </row>
    <row r="19" spans="1:5" x14ac:dyDescent="0.25">
      <c r="A19" t="s">
        <v>86</v>
      </c>
      <c r="B19">
        <v>1</v>
      </c>
      <c r="C19">
        <v>0.5</v>
      </c>
      <c r="D19">
        <v>3.6484930000000002</v>
      </c>
      <c r="E19">
        <v>0.425618</v>
      </c>
    </row>
    <row r="20" spans="1:5" x14ac:dyDescent="0.25">
      <c r="A20" t="s">
        <v>86</v>
      </c>
      <c r="B20">
        <v>1</v>
      </c>
      <c r="C20">
        <v>0.5</v>
      </c>
      <c r="D20">
        <v>3.8837700000000002</v>
      </c>
      <c r="E20">
        <v>0.40130100000000002</v>
      </c>
    </row>
    <row r="21" spans="1:5" x14ac:dyDescent="0.25">
      <c r="A21" t="s">
        <v>86</v>
      </c>
      <c r="B21">
        <v>1</v>
      </c>
      <c r="C21">
        <v>0.5</v>
      </c>
      <c r="D21">
        <v>4.1066529999999997</v>
      </c>
      <c r="E21">
        <v>0.378936</v>
      </c>
    </row>
    <row r="22" spans="1:5" x14ac:dyDescent="0.25">
      <c r="A22" t="s">
        <v>86</v>
      </c>
      <c r="B22">
        <v>1</v>
      </c>
      <c r="C22">
        <v>0.5</v>
      </c>
      <c r="D22">
        <v>4.2758589999999996</v>
      </c>
      <c r="E22">
        <v>0.36338999999999999</v>
      </c>
    </row>
    <row r="23" spans="1:5" x14ac:dyDescent="0.25">
      <c r="A23" t="s">
        <v>86</v>
      </c>
      <c r="B23">
        <v>1</v>
      </c>
      <c r="C23">
        <v>0.5</v>
      </c>
      <c r="D23">
        <v>4.5110619999999999</v>
      </c>
      <c r="E23">
        <v>0.34398099999999998</v>
      </c>
    </row>
    <row r="24" spans="1:5" x14ac:dyDescent="0.25">
      <c r="A24" t="s">
        <v>86</v>
      </c>
      <c r="B24">
        <v>1</v>
      </c>
      <c r="C24">
        <v>0.5</v>
      </c>
      <c r="D24">
        <v>4.7421449999999998</v>
      </c>
      <c r="E24">
        <v>0.32456800000000002</v>
      </c>
    </row>
    <row r="25" spans="1:5" x14ac:dyDescent="0.25">
      <c r="A25" t="s">
        <v>86</v>
      </c>
      <c r="B25">
        <v>1</v>
      </c>
      <c r="C25">
        <v>0.5</v>
      </c>
      <c r="D25">
        <v>4.9607619999999999</v>
      </c>
      <c r="E25">
        <v>0.31201400000000001</v>
      </c>
    </row>
    <row r="26" spans="1:5" x14ac:dyDescent="0.25">
      <c r="A26" t="s">
        <v>86</v>
      </c>
      <c r="B26">
        <v>1</v>
      </c>
      <c r="C26">
        <v>0.5</v>
      </c>
      <c r="D26">
        <v>5.1917720000000003</v>
      </c>
      <c r="E26">
        <v>0.29750799999999999</v>
      </c>
    </row>
    <row r="27" spans="1:5" x14ac:dyDescent="0.25">
      <c r="A27" t="s">
        <v>86</v>
      </c>
      <c r="B27">
        <v>1</v>
      </c>
      <c r="C27">
        <v>0.5</v>
      </c>
      <c r="D27">
        <v>5.4268739999999998</v>
      </c>
      <c r="E27">
        <v>0.28497</v>
      </c>
    </row>
    <row r="28" spans="1:5" x14ac:dyDescent="0.25">
      <c r="A28" t="s">
        <v>86</v>
      </c>
      <c r="B28">
        <v>1</v>
      </c>
      <c r="C28">
        <v>0.5</v>
      </c>
      <c r="D28">
        <v>5.6949459999999998</v>
      </c>
      <c r="E28">
        <v>0.27246199999999998</v>
      </c>
    </row>
    <row r="29" spans="1:5" x14ac:dyDescent="0.25">
      <c r="A29" t="s">
        <v>86</v>
      </c>
      <c r="B29">
        <v>1</v>
      </c>
      <c r="C29">
        <v>0.5</v>
      </c>
      <c r="D29">
        <v>5.8970050000000001</v>
      </c>
      <c r="E29">
        <v>0.26479999999999998</v>
      </c>
    </row>
    <row r="30" spans="1:5" x14ac:dyDescent="0.25">
      <c r="A30" t="s">
        <v>86</v>
      </c>
      <c r="B30">
        <v>1</v>
      </c>
      <c r="C30">
        <v>0.5</v>
      </c>
      <c r="D30">
        <v>5.9794739999999997</v>
      </c>
      <c r="E30">
        <v>0.26193300000000003</v>
      </c>
    </row>
    <row r="31" spans="1:5" x14ac:dyDescent="0.25">
      <c r="A31" t="s">
        <v>86</v>
      </c>
      <c r="B31">
        <v>1</v>
      </c>
      <c r="C31">
        <v>1</v>
      </c>
      <c r="D31">
        <v>0.51427900000000004</v>
      </c>
      <c r="E31">
        <v>0.93829099999999999</v>
      </c>
    </row>
    <row r="32" spans="1:5" x14ac:dyDescent="0.25">
      <c r="A32" t="s">
        <v>86</v>
      </c>
      <c r="B32">
        <v>1</v>
      </c>
      <c r="C32">
        <v>1</v>
      </c>
      <c r="D32">
        <v>0.65136300000000003</v>
      </c>
      <c r="E32">
        <v>0.89884399999999998</v>
      </c>
    </row>
    <row r="33" spans="1:5" x14ac:dyDescent="0.25">
      <c r="A33" t="s">
        <v>86</v>
      </c>
      <c r="B33">
        <v>1</v>
      </c>
      <c r="C33">
        <v>1</v>
      </c>
      <c r="D33">
        <v>0.77049599999999996</v>
      </c>
      <c r="E33">
        <v>0.86927399999999999</v>
      </c>
    </row>
    <row r="34" spans="1:5" x14ac:dyDescent="0.25">
      <c r="A34" t="s">
        <v>86</v>
      </c>
      <c r="B34">
        <v>1</v>
      </c>
      <c r="C34">
        <v>1</v>
      </c>
      <c r="D34">
        <v>0.94325000000000003</v>
      </c>
      <c r="E34">
        <v>0.82562100000000005</v>
      </c>
    </row>
    <row r="35" spans="1:5" x14ac:dyDescent="0.25">
      <c r="A35" t="s">
        <v>86</v>
      </c>
      <c r="B35">
        <v>1</v>
      </c>
      <c r="C35">
        <v>1</v>
      </c>
      <c r="D35">
        <v>1.133893</v>
      </c>
      <c r="E35">
        <v>0.77633099999999999</v>
      </c>
    </row>
    <row r="36" spans="1:5" x14ac:dyDescent="0.25">
      <c r="A36" t="s">
        <v>86</v>
      </c>
      <c r="B36">
        <v>1</v>
      </c>
      <c r="C36">
        <v>1</v>
      </c>
      <c r="D36">
        <v>1.384091</v>
      </c>
      <c r="E36">
        <v>0.71296199999999998</v>
      </c>
    </row>
    <row r="37" spans="1:5" x14ac:dyDescent="0.25">
      <c r="A37" t="s">
        <v>86</v>
      </c>
      <c r="B37">
        <v>1</v>
      </c>
      <c r="C37">
        <v>1</v>
      </c>
      <c r="D37">
        <v>1.5448919999999999</v>
      </c>
      <c r="E37">
        <v>0.67495099999999997</v>
      </c>
    </row>
    <row r="38" spans="1:5" x14ac:dyDescent="0.25">
      <c r="A38" t="s">
        <v>86</v>
      </c>
      <c r="B38">
        <v>1</v>
      </c>
      <c r="C38">
        <v>1</v>
      </c>
      <c r="D38">
        <v>1.729579</v>
      </c>
      <c r="E38">
        <v>0.62706899999999999</v>
      </c>
    </row>
    <row r="39" spans="1:5" x14ac:dyDescent="0.25">
      <c r="A39" t="s">
        <v>86</v>
      </c>
      <c r="B39">
        <v>1</v>
      </c>
      <c r="C39">
        <v>1</v>
      </c>
      <c r="D39">
        <v>1.9319649999999999</v>
      </c>
      <c r="E39">
        <v>0.58626999999999996</v>
      </c>
    </row>
    <row r="40" spans="1:5" x14ac:dyDescent="0.25">
      <c r="A40" t="s">
        <v>86</v>
      </c>
      <c r="B40">
        <v>1</v>
      </c>
      <c r="C40">
        <v>1</v>
      </c>
      <c r="D40">
        <v>2.1641080000000001</v>
      </c>
      <c r="E40">
        <v>0.53984600000000005</v>
      </c>
    </row>
    <row r="41" spans="1:5" x14ac:dyDescent="0.25">
      <c r="A41" t="s">
        <v>86</v>
      </c>
      <c r="B41">
        <v>1</v>
      </c>
      <c r="C41">
        <v>1</v>
      </c>
      <c r="D41">
        <v>2.4496829999999998</v>
      </c>
      <c r="E41">
        <v>0.492058</v>
      </c>
    </row>
    <row r="42" spans="1:5" x14ac:dyDescent="0.25">
      <c r="A42" t="s">
        <v>86</v>
      </c>
      <c r="B42">
        <v>1</v>
      </c>
      <c r="C42">
        <v>1</v>
      </c>
      <c r="D42">
        <v>2.7946680000000002</v>
      </c>
      <c r="E42">
        <v>0.44008599999999998</v>
      </c>
    </row>
    <row r="43" spans="1:5" x14ac:dyDescent="0.25">
      <c r="A43" t="s">
        <v>86</v>
      </c>
      <c r="B43">
        <v>1</v>
      </c>
      <c r="C43">
        <v>1</v>
      </c>
      <c r="D43">
        <v>3.0503399999999998</v>
      </c>
      <c r="E43">
        <v>0.40781800000000001</v>
      </c>
    </row>
    <row r="44" spans="1:5" x14ac:dyDescent="0.25">
      <c r="A44" t="s">
        <v>86</v>
      </c>
      <c r="B44">
        <v>1</v>
      </c>
      <c r="C44">
        <v>1</v>
      </c>
      <c r="D44">
        <v>3.3595069999999998</v>
      </c>
      <c r="E44">
        <v>0.36994700000000003</v>
      </c>
    </row>
    <row r="45" spans="1:5" x14ac:dyDescent="0.25">
      <c r="A45" t="s">
        <v>86</v>
      </c>
      <c r="B45">
        <v>1</v>
      </c>
      <c r="C45">
        <v>1</v>
      </c>
      <c r="D45">
        <v>3.6507230000000002</v>
      </c>
      <c r="E45">
        <v>0.34195300000000001</v>
      </c>
    </row>
    <row r="46" spans="1:5" x14ac:dyDescent="0.25">
      <c r="A46" t="s">
        <v>86</v>
      </c>
      <c r="B46">
        <v>1</v>
      </c>
      <c r="C46">
        <v>1</v>
      </c>
      <c r="D46">
        <v>3.9597229999999999</v>
      </c>
      <c r="E46">
        <v>0.31538899999999997</v>
      </c>
    </row>
    <row r="47" spans="1:5" x14ac:dyDescent="0.25">
      <c r="A47" t="s">
        <v>86</v>
      </c>
      <c r="B47">
        <v>1</v>
      </c>
      <c r="C47">
        <v>1</v>
      </c>
      <c r="D47">
        <v>4.2568320000000002</v>
      </c>
      <c r="E47">
        <v>0.29022700000000001</v>
      </c>
    </row>
    <row r="48" spans="1:5" x14ac:dyDescent="0.25">
      <c r="A48" t="s">
        <v>86</v>
      </c>
      <c r="B48">
        <v>1</v>
      </c>
      <c r="C48">
        <v>1</v>
      </c>
      <c r="D48">
        <v>4.5657269999999999</v>
      </c>
      <c r="E48">
        <v>0.270731</v>
      </c>
    </row>
    <row r="49" spans="1:5" x14ac:dyDescent="0.25">
      <c r="A49" t="s">
        <v>86</v>
      </c>
      <c r="B49">
        <v>1</v>
      </c>
      <c r="C49">
        <v>1</v>
      </c>
      <c r="D49">
        <v>4.9458789999999997</v>
      </c>
      <c r="E49">
        <v>0.248474</v>
      </c>
    </row>
    <row r="50" spans="1:5" x14ac:dyDescent="0.25">
      <c r="A50" t="s">
        <v>86</v>
      </c>
      <c r="B50">
        <v>1</v>
      </c>
      <c r="C50">
        <v>1</v>
      </c>
      <c r="D50">
        <v>5.3556619999999997</v>
      </c>
      <c r="E50">
        <v>0.229072</v>
      </c>
    </row>
    <row r="51" spans="1:5" x14ac:dyDescent="0.25">
      <c r="A51" t="s">
        <v>86</v>
      </c>
      <c r="B51">
        <v>1</v>
      </c>
      <c r="C51">
        <v>1</v>
      </c>
      <c r="D51">
        <v>5.7475579999999997</v>
      </c>
      <c r="E51">
        <v>0.215307</v>
      </c>
    </row>
    <row r="52" spans="1:5" x14ac:dyDescent="0.25">
      <c r="A52" t="s">
        <v>86</v>
      </c>
      <c r="B52">
        <v>1</v>
      </c>
      <c r="C52">
        <v>1</v>
      </c>
      <c r="D52">
        <v>5.9909410000000003</v>
      </c>
      <c r="E52">
        <v>0.21129600000000001</v>
      </c>
    </row>
    <row r="53" spans="1:5" x14ac:dyDescent="0.25">
      <c r="A53" t="s">
        <v>86</v>
      </c>
      <c r="B53">
        <v>1.5</v>
      </c>
      <c r="C53">
        <v>0.5</v>
      </c>
      <c r="D53">
        <v>0.50301899999999999</v>
      </c>
      <c r="E53">
        <v>0.99988600000000005</v>
      </c>
    </row>
    <row r="54" spans="1:5" x14ac:dyDescent="0.25">
      <c r="A54" t="s">
        <v>86</v>
      </c>
      <c r="B54">
        <v>1.5</v>
      </c>
      <c r="C54">
        <v>0.5</v>
      </c>
      <c r="D54">
        <v>0.73714400000000002</v>
      </c>
      <c r="E54">
        <v>0.98529500000000003</v>
      </c>
    </row>
    <row r="55" spans="1:5" x14ac:dyDescent="0.25">
      <c r="A55" t="s">
        <v>86</v>
      </c>
      <c r="B55">
        <v>1.5</v>
      </c>
      <c r="C55">
        <v>0.5</v>
      </c>
      <c r="D55">
        <v>0.97996700000000003</v>
      </c>
      <c r="E55">
        <v>0.96518499999999996</v>
      </c>
    </row>
    <row r="56" spans="1:5" x14ac:dyDescent="0.25">
      <c r="A56" t="s">
        <v>86</v>
      </c>
      <c r="B56">
        <v>1.5</v>
      </c>
      <c r="C56">
        <v>0.5</v>
      </c>
      <c r="D56">
        <v>1.2083930000000001</v>
      </c>
      <c r="E56">
        <v>0.93543299999999996</v>
      </c>
    </row>
    <row r="57" spans="1:5" x14ac:dyDescent="0.25">
      <c r="A57" t="s">
        <v>86</v>
      </c>
      <c r="B57">
        <v>1.5</v>
      </c>
      <c r="C57">
        <v>0.5</v>
      </c>
      <c r="D57">
        <v>1.407942</v>
      </c>
      <c r="E57">
        <v>0.90224899999999997</v>
      </c>
    </row>
    <row r="58" spans="1:5" x14ac:dyDescent="0.25">
      <c r="A58" t="s">
        <v>86</v>
      </c>
      <c r="B58">
        <v>1.5</v>
      </c>
      <c r="C58">
        <v>0.5</v>
      </c>
      <c r="D58">
        <v>1.5988389999999999</v>
      </c>
      <c r="E58">
        <v>0.865622</v>
      </c>
    </row>
    <row r="59" spans="1:5" x14ac:dyDescent="0.25">
      <c r="A59" t="s">
        <v>86</v>
      </c>
      <c r="B59">
        <v>1.5</v>
      </c>
      <c r="C59">
        <v>0.5</v>
      </c>
      <c r="D59">
        <v>1.7868580000000001</v>
      </c>
      <c r="E59">
        <v>0.82693000000000005</v>
      </c>
    </row>
    <row r="60" spans="1:5" x14ac:dyDescent="0.25">
      <c r="A60" t="s">
        <v>86</v>
      </c>
      <c r="B60">
        <v>1.5</v>
      </c>
      <c r="C60">
        <v>0.5</v>
      </c>
      <c r="D60">
        <v>1.9864390000000001</v>
      </c>
      <c r="E60">
        <v>0.78754199999999996</v>
      </c>
    </row>
    <row r="61" spans="1:5" x14ac:dyDescent="0.25">
      <c r="A61" t="s">
        <v>86</v>
      </c>
      <c r="B61">
        <v>1.5</v>
      </c>
      <c r="C61">
        <v>0.5</v>
      </c>
      <c r="D61">
        <v>2.1513170000000001</v>
      </c>
      <c r="E61">
        <v>0.75368599999999997</v>
      </c>
    </row>
    <row r="62" spans="1:5" x14ac:dyDescent="0.25">
      <c r="A62" t="s">
        <v>86</v>
      </c>
      <c r="B62">
        <v>1.5</v>
      </c>
      <c r="C62">
        <v>0.5</v>
      </c>
      <c r="D62">
        <v>2.4058449999999998</v>
      </c>
      <c r="E62">
        <v>0.70530999999999999</v>
      </c>
    </row>
    <row r="63" spans="1:5" x14ac:dyDescent="0.25">
      <c r="A63" t="s">
        <v>86</v>
      </c>
      <c r="B63">
        <v>1.5</v>
      </c>
      <c r="C63">
        <v>0.5</v>
      </c>
      <c r="D63">
        <v>2.7615639999999999</v>
      </c>
      <c r="E63">
        <v>0.64585599999999999</v>
      </c>
    </row>
    <row r="64" spans="1:5" x14ac:dyDescent="0.25">
      <c r="A64" t="s">
        <v>86</v>
      </c>
      <c r="B64">
        <v>1.5</v>
      </c>
      <c r="C64">
        <v>0.5</v>
      </c>
      <c r="D64">
        <v>3.1895479999999998</v>
      </c>
      <c r="E64">
        <v>0.58085200000000003</v>
      </c>
    </row>
    <row r="65" spans="1:5" x14ac:dyDescent="0.25">
      <c r="A65" t="s">
        <v>86</v>
      </c>
      <c r="B65">
        <v>1.5</v>
      </c>
      <c r="C65">
        <v>0.5</v>
      </c>
      <c r="D65">
        <v>3.487387</v>
      </c>
      <c r="E65">
        <v>0.53865799999999997</v>
      </c>
    </row>
    <row r="66" spans="1:5" x14ac:dyDescent="0.25">
      <c r="A66" t="s">
        <v>86</v>
      </c>
      <c r="B66">
        <v>1.5</v>
      </c>
      <c r="C66">
        <v>0.5</v>
      </c>
      <c r="D66">
        <v>3.7909760000000001</v>
      </c>
      <c r="E66">
        <v>0.50197599999999998</v>
      </c>
    </row>
    <row r="67" spans="1:5" x14ac:dyDescent="0.25">
      <c r="A67" t="s">
        <v>86</v>
      </c>
      <c r="B67">
        <v>1.5</v>
      </c>
      <c r="C67">
        <v>0.5</v>
      </c>
      <c r="D67">
        <v>4.1523690000000002</v>
      </c>
      <c r="E67">
        <v>0.46250799999999997</v>
      </c>
    </row>
    <row r="68" spans="1:5" x14ac:dyDescent="0.25">
      <c r="A68" t="s">
        <v>86</v>
      </c>
      <c r="B68">
        <v>1.5</v>
      </c>
      <c r="C68">
        <v>0.5</v>
      </c>
      <c r="D68">
        <v>4.4125719999999999</v>
      </c>
      <c r="E68">
        <v>0.43411899999999998</v>
      </c>
    </row>
    <row r="69" spans="1:5" x14ac:dyDescent="0.25">
      <c r="A69" t="s">
        <v>86</v>
      </c>
      <c r="B69">
        <v>1.5</v>
      </c>
      <c r="C69">
        <v>0.5</v>
      </c>
      <c r="D69">
        <v>4.6264900000000004</v>
      </c>
      <c r="E69">
        <v>0.41609099999999999</v>
      </c>
    </row>
    <row r="70" spans="1:5" x14ac:dyDescent="0.25">
      <c r="A70" t="s">
        <v>86</v>
      </c>
      <c r="B70">
        <v>1.5</v>
      </c>
      <c r="C70">
        <v>0.5</v>
      </c>
      <c r="D70">
        <v>4.9386929999999998</v>
      </c>
      <c r="E70">
        <v>0.38974399999999998</v>
      </c>
    </row>
    <row r="71" spans="1:5" x14ac:dyDescent="0.25">
      <c r="A71" t="s">
        <v>86</v>
      </c>
      <c r="B71">
        <v>1.5</v>
      </c>
      <c r="C71">
        <v>0.5</v>
      </c>
      <c r="D71">
        <v>5.2711129999999997</v>
      </c>
      <c r="E71">
        <v>0.365454</v>
      </c>
    </row>
    <row r="72" spans="1:5" x14ac:dyDescent="0.25">
      <c r="A72" t="s">
        <v>86</v>
      </c>
      <c r="B72">
        <v>1.5</v>
      </c>
      <c r="C72">
        <v>0.5</v>
      </c>
      <c r="D72">
        <v>5.4936800000000003</v>
      </c>
      <c r="E72">
        <v>0.35086899999999999</v>
      </c>
    </row>
    <row r="73" spans="1:5" x14ac:dyDescent="0.25">
      <c r="A73" t="s">
        <v>86</v>
      </c>
      <c r="B73">
        <v>1.5</v>
      </c>
      <c r="C73">
        <v>0.5</v>
      </c>
      <c r="D73">
        <v>5.7538150000000003</v>
      </c>
      <c r="E73">
        <v>0.33557599999999999</v>
      </c>
    </row>
    <row r="74" spans="1:5" x14ac:dyDescent="0.25">
      <c r="A74" t="s">
        <v>86</v>
      </c>
      <c r="B74">
        <v>1.5</v>
      </c>
      <c r="C74">
        <v>0.5</v>
      </c>
      <c r="D74">
        <v>5.9301259999999996</v>
      </c>
      <c r="E74">
        <v>0.32583899999999999</v>
      </c>
    </row>
    <row r="75" spans="1:5" x14ac:dyDescent="0.25">
      <c r="A75" t="s">
        <v>86</v>
      </c>
      <c r="B75">
        <v>1.5</v>
      </c>
      <c r="C75">
        <v>0.5</v>
      </c>
      <c r="D75">
        <v>5.9821330000000001</v>
      </c>
      <c r="E75">
        <v>0.32650200000000001</v>
      </c>
    </row>
    <row r="76" spans="1:5" x14ac:dyDescent="0.25">
      <c r="A76" t="s">
        <v>86</v>
      </c>
      <c r="B76">
        <v>1.5</v>
      </c>
      <c r="C76">
        <v>1</v>
      </c>
      <c r="D76">
        <v>0.50610200000000005</v>
      </c>
      <c r="E76">
        <v>0.96266300000000005</v>
      </c>
    </row>
    <row r="77" spans="1:5" x14ac:dyDescent="0.25">
      <c r="A77" t="s">
        <v>86</v>
      </c>
      <c r="B77">
        <v>1.5</v>
      </c>
      <c r="C77">
        <v>1</v>
      </c>
      <c r="D77">
        <v>0.62468599999999996</v>
      </c>
      <c r="E77">
        <v>0.94054800000000005</v>
      </c>
    </row>
    <row r="78" spans="1:5" x14ac:dyDescent="0.25">
      <c r="A78" t="s">
        <v>86</v>
      </c>
      <c r="B78">
        <v>1.5</v>
      </c>
      <c r="C78">
        <v>1</v>
      </c>
      <c r="D78">
        <v>0.79531499999999999</v>
      </c>
      <c r="E78">
        <v>0.91220299999999999</v>
      </c>
    </row>
    <row r="79" spans="1:5" x14ac:dyDescent="0.25">
      <c r="A79" t="s">
        <v>86</v>
      </c>
      <c r="B79">
        <v>1.5</v>
      </c>
      <c r="C79">
        <v>1</v>
      </c>
      <c r="D79">
        <v>0.99488500000000002</v>
      </c>
      <c r="E79">
        <v>0.87488299999999997</v>
      </c>
    </row>
    <row r="80" spans="1:5" x14ac:dyDescent="0.25">
      <c r="A80" t="s">
        <v>86</v>
      </c>
      <c r="B80">
        <v>1.5</v>
      </c>
      <c r="C80">
        <v>1</v>
      </c>
      <c r="D80">
        <v>1.2899160000000001</v>
      </c>
      <c r="E80">
        <v>0.81683700000000004</v>
      </c>
    </row>
    <row r="81" spans="1:5" x14ac:dyDescent="0.25">
      <c r="A81" t="s">
        <v>86</v>
      </c>
      <c r="B81">
        <v>1.5</v>
      </c>
      <c r="C81">
        <v>1</v>
      </c>
      <c r="D81">
        <v>1.6022989999999999</v>
      </c>
      <c r="E81">
        <v>0.75602599999999998</v>
      </c>
    </row>
    <row r="82" spans="1:5" x14ac:dyDescent="0.25">
      <c r="A82" t="s">
        <v>86</v>
      </c>
      <c r="B82">
        <v>1.5</v>
      </c>
      <c r="C82">
        <v>1</v>
      </c>
      <c r="D82">
        <v>1.9840770000000001</v>
      </c>
      <c r="E82">
        <v>0.68622000000000005</v>
      </c>
    </row>
    <row r="83" spans="1:5" x14ac:dyDescent="0.25">
      <c r="A83" t="s">
        <v>86</v>
      </c>
      <c r="B83">
        <v>1.5</v>
      </c>
      <c r="C83">
        <v>1</v>
      </c>
      <c r="D83">
        <v>2.2588309999999998</v>
      </c>
      <c r="E83">
        <v>0.63783400000000001</v>
      </c>
    </row>
    <row r="84" spans="1:5" x14ac:dyDescent="0.25">
      <c r="A84" t="s">
        <v>86</v>
      </c>
      <c r="B84">
        <v>1.5</v>
      </c>
      <c r="C84">
        <v>1</v>
      </c>
      <c r="D84">
        <v>2.582719</v>
      </c>
      <c r="E84">
        <v>0.58735599999999999</v>
      </c>
    </row>
    <row r="85" spans="1:5" x14ac:dyDescent="0.25">
      <c r="A85" t="s">
        <v>86</v>
      </c>
      <c r="B85">
        <v>1.5</v>
      </c>
      <c r="C85">
        <v>1</v>
      </c>
      <c r="D85">
        <v>2.9933269999999998</v>
      </c>
      <c r="E85">
        <v>0.52994300000000005</v>
      </c>
    </row>
    <row r="86" spans="1:5" x14ac:dyDescent="0.25">
      <c r="A86" t="s">
        <v>86</v>
      </c>
      <c r="B86">
        <v>1.5</v>
      </c>
      <c r="C86">
        <v>1</v>
      </c>
      <c r="D86">
        <v>3.3836689999999998</v>
      </c>
      <c r="E86">
        <v>0.48012100000000002</v>
      </c>
    </row>
    <row r="87" spans="1:5" x14ac:dyDescent="0.25">
      <c r="A87" t="s">
        <v>86</v>
      </c>
      <c r="B87">
        <v>1.5</v>
      </c>
      <c r="C87">
        <v>1</v>
      </c>
      <c r="D87">
        <v>3.7219500000000001</v>
      </c>
      <c r="E87">
        <v>0.43997599999999998</v>
      </c>
    </row>
    <row r="88" spans="1:5" x14ac:dyDescent="0.25">
      <c r="A88" t="s">
        <v>86</v>
      </c>
      <c r="B88">
        <v>1.5</v>
      </c>
      <c r="C88">
        <v>1</v>
      </c>
      <c r="D88">
        <v>4.0746609999999999</v>
      </c>
      <c r="E88">
        <v>0.40326899999999999</v>
      </c>
    </row>
    <row r="89" spans="1:5" x14ac:dyDescent="0.25">
      <c r="A89" t="s">
        <v>86</v>
      </c>
      <c r="B89">
        <v>1.5</v>
      </c>
      <c r="C89">
        <v>1</v>
      </c>
      <c r="D89">
        <v>4.5053919999999996</v>
      </c>
      <c r="E89">
        <v>0.36583399999999999</v>
      </c>
    </row>
    <row r="90" spans="1:5" x14ac:dyDescent="0.25">
      <c r="A90" t="s">
        <v>86</v>
      </c>
      <c r="B90">
        <v>1.5</v>
      </c>
      <c r="C90">
        <v>1</v>
      </c>
      <c r="D90">
        <v>5.0546030000000002</v>
      </c>
      <c r="E90">
        <v>0.32627299999999998</v>
      </c>
    </row>
    <row r="91" spans="1:5" x14ac:dyDescent="0.25">
      <c r="A91" t="s">
        <v>86</v>
      </c>
      <c r="B91">
        <v>1.5</v>
      </c>
      <c r="C91">
        <v>1</v>
      </c>
      <c r="D91">
        <v>5.4043419999999998</v>
      </c>
      <c r="E91">
        <v>0.305421</v>
      </c>
    </row>
    <row r="92" spans="1:5" x14ac:dyDescent="0.25">
      <c r="A92" t="s">
        <v>86</v>
      </c>
      <c r="B92">
        <v>1.5</v>
      </c>
      <c r="C92">
        <v>1</v>
      </c>
      <c r="D92">
        <v>5.6847000000000003</v>
      </c>
      <c r="E92">
        <v>0.29080699999999998</v>
      </c>
    </row>
    <row r="93" spans="1:5" x14ac:dyDescent="0.25">
      <c r="A93" t="s">
        <v>86</v>
      </c>
      <c r="B93">
        <v>1.5</v>
      </c>
      <c r="C93">
        <v>1</v>
      </c>
      <c r="D93">
        <v>5.9188010000000002</v>
      </c>
      <c r="E93">
        <v>0.28104099999999999</v>
      </c>
    </row>
    <row r="94" spans="1:5" x14ac:dyDescent="0.25">
      <c r="A94" t="s">
        <v>86</v>
      </c>
      <c r="B94">
        <v>1.5</v>
      </c>
      <c r="C94">
        <v>1</v>
      </c>
      <c r="D94">
        <v>5.9765980000000001</v>
      </c>
      <c r="E94">
        <v>0.27963399999999999</v>
      </c>
    </row>
    <row r="95" spans="1:5" x14ac:dyDescent="0.25">
      <c r="A95" t="s">
        <v>86</v>
      </c>
      <c r="B95">
        <v>1.5</v>
      </c>
      <c r="C95">
        <v>1.5</v>
      </c>
      <c r="D95">
        <v>0.50428399999999995</v>
      </c>
      <c r="E95">
        <v>0.64540500000000001</v>
      </c>
    </row>
    <row r="96" spans="1:5" x14ac:dyDescent="0.25">
      <c r="A96" t="s">
        <v>86</v>
      </c>
      <c r="B96">
        <v>1.5</v>
      </c>
      <c r="C96">
        <v>1.5</v>
      </c>
      <c r="D96">
        <v>0.67500000000000004</v>
      </c>
      <c r="E96">
        <v>0.62249100000000002</v>
      </c>
    </row>
    <row r="97" spans="1:5" x14ac:dyDescent="0.25">
      <c r="A97" t="s">
        <v>86</v>
      </c>
      <c r="B97">
        <v>1.5</v>
      </c>
      <c r="C97">
        <v>1.5</v>
      </c>
      <c r="D97">
        <v>0.97893699999999995</v>
      </c>
      <c r="E97">
        <v>0.58561600000000003</v>
      </c>
    </row>
    <row r="98" spans="1:5" x14ac:dyDescent="0.25">
      <c r="A98" t="s">
        <v>86</v>
      </c>
      <c r="B98">
        <v>1.5</v>
      </c>
      <c r="C98">
        <v>1.5</v>
      </c>
      <c r="D98">
        <v>1.2703899999999999</v>
      </c>
      <c r="E98">
        <v>0.54874699999999998</v>
      </c>
    </row>
    <row r="99" spans="1:5" x14ac:dyDescent="0.25">
      <c r="A99" t="s">
        <v>86</v>
      </c>
      <c r="B99">
        <v>1.5</v>
      </c>
      <c r="C99">
        <v>1.5</v>
      </c>
      <c r="D99">
        <v>1.516054</v>
      </c>
      <c r="E99">
        <v>0.51587000000000005</v>
      </c>
    </row>
    <row r="100" spans="1:5" x14ac:dyDescent="0.25">
      <c r="A100" t="s">
        <v>86</v>
      </c>
      <c r="B100">
        <v>1.5</v>
      </c>
      <c r="C100">
        <v>1.5</v>
      </c>
      <c r="D100">
        <v>1.803347</v>
      </c>
      <c r="E100">
        <v>0.47900300000000001</v>
      </c>
    </row>
    <row r="101" spans="1:5" x14ac:dyDescent="0.25">
      <c r="A101" t="s">
        <v>86</v>
      </c>
      <c r="B101">
        <v>1.5</v>
      </c>
      <c r="C101">
        <v>1.5</v>
      </c>
      <c r="D101">
        <v>2.0781420000000002</v>
      </c>
      <c r="E101">
        <v>0.44512000000000002</v>
      </c>
    </row>
    <row r="102" spans="1:5" x14ac:dyDescent="0.25">
      <c r="A102" t="s">
        <v>86</v>
      </c>
      <c r="B102">
        <v>1.5</v>
      </c>
      <c r="C102">
        <v>1.5</v>
      </c>
      <c r="D102">
        <v>2.2946270000000002</v>
      </c>
      <c r="E102">
        <v>0.422184</v>
      </c>
    </row>
    <row r="103" spans="1:5" x14ac:dyDescent="0.25">
      <c r="A103" t="s">
        <v>86</v>
      </c>
      <c r="B103">
        <v>1.5</v>
      </c>
      <c r="C103">
        <v>1.5</v>
      </c>
      <c r="D103">
        <v>2.556908</v>
      </c>
      <c r="E103">
        <v>0.394262</v>
      </c>
    </row>
    <row r="104" spans="1:5" x14ac:dyDescent="0.25">
      <c r="A104" t="s">
        <v>86</v>
      </c>
      <c r="B104">
        <v>1.5</v>
      </c>
      <c r="C104">
        <v>1.5</v>
      </c>
      <c r="D104">
        <v>2.8316620000000001</v>
      </c>
      <c r="E104">
        <v>0.36831900000000001</v>
      </c>
    </row>
    <row r="105" spans="1:5" x14ac:dyDescent="0.25">
      <c r="A105" t="s">
        <v>86</v>
      </c>
      <c r="B105">
        <v>1.5</v>
      </c>
      <c r="C105">
        <v>1.5</v>
      </c>
      <c r="D105">
        <v>3.0772729999999999</v>
      </c>
      <c r="E105">
        <v>0.34536899999999998</v>
      </c>
    </row>
    <row r="106" spans="1:5" x14ac:dyDescent="0.25">
      <c r="A106" t="s">
        <v>86</v>
      </c>
      <c r="B106">
        <v>1.5</v>
      </c>
      <c r="C106">
        <v>1.5</v>
      </c>
      <c r="D106">
        <v>3.4102899999999998</v>
      </c>
      <c r="E106">
        <v>0.31741200000000003</v>
      </c>
    </row>
    <row r="107" spans="1:5" x14ac:dyDescent="0.25">
      <c r="A107" t="s">
        <v>86</v>
      </c>
      <c r="B107">
        <v>1.5</v>
      </c>
      <c r="C107">
        <v>1.5</v>
      </c>
      <c r="D107">
        <v>3.6891889999999998</v>
      </c>
      <c r="E107">
        <v>0.29444399999999998</v>
      </c>
    </row>
    <row r="108" spans="1:5" x14ac:dyDescent="0.25">
      <c r="A108" t="s">
        <v>86</v>
      </c>
      <c r="B108">
        <v>1.5</v>
      </c>
      <c r="C108">
        <v>1.5</v>
      </c>
      <c r="D108">
        <v>4.0013649999999998</v>
      </c>
      <c r="E108">
        <v>0.27344600000000002</v>
      </c>
    </row>
    <row r="109" spans="1:5" x14ac:dyDescent="0.25">
      <c r="A109" t="s">
        <v>86</v>
      </c>
      <c r="B109">
        <v>1.5</v>
      </c>
      <c r="C109">
        <v>1.5</v>
      </c>
      <c r="D109">
        <v>4.3801300000000003</v>
      </c>
      <c r="E109">
        <v>0.24943699999999999</v>
      </c>
    </row>
    <row r="110" spans="1:5" x14ac:dyDescent="0.25">
      <c r="A110" t="s">
        <v>86</v>
      </c>
      <c r="B110">
        <v>1.5</v>
      </c>
      <c r="C110">
        <v>1.5</v>
      </c>
      <c r="D110">
        <v>4.7047679999999996</v>
      </c>
      <c r="E110">
        <v>0.232402</v>
      </c>
    </row>
    <row r="111" spans="1:5" x14ac:dyDescent="0.25">
      <c r="A111" t="s">
        <v>86</v>
      </c>
      <c r="B111">
        <v>1.5</v>
      </c>
      <c r="C111">
        <v>1.5</v>
      </c>
      <c r="D111">
        <v>4.9961029999999997</v>
      </c>
      <c r="E111">
        <v>0.218362</v>
      </c>
    </row>
    <row r="112" spans="1:5" x14ac:dyDescent="0.25">
      <c r="A112" t="s">
        <v>86</v>
      </c>
      <c r="B112">
        <v>1.5</v>
      </c>
      <c r="C112">
        <v>1.5</v>
      </c>
      <c r="D112">
        <v>5.3290470000000001</v>
      </c>
      <c r="E112">
        <v>0.20430100000000001</v>
      </c>
    </row>
    <row r="113" spans="1:5" x14ac:dyDescent="0.25">
      <c r="A113" t="s">
        <v>86</v>
      </c>
      <c r="B113">
        <v>1.5</v>
      </c>
      <c r="C113">
        <v>1.5</v>
      </c>
      <c r="D113">
        <v>5.6453379999999997</v>
      </c>
      <c r="E113">
        <v>0.19223299999999999</v>
      </c>
    </row>
    <row r="114" spans="1:5" x14ac:dyDescent="0.25">
      <c r="A114" t="s">
        <v>86</v>
      </c>
      <c r="B114">
        <v>1.5</v>
      </c>
      <c r="C114">
        <v>1.5</v>
      </c>
      <c r="D114">
        <v>5.8326039999999999</v>
      </c>
      <c r="E114">
        <v>0.18717700000000001</v>
      </c>
    </row>
    <row r="115" spans="1:5" x14ac:dyDescent="0.25">
      <c r="A115" t="s">
        <v>86</v>
      </c>
      <c r="B115">
        <v>1.5</v>
      </c>
      <c r="C115">
        <v>1.5</v>
      </c>
      <c r="D115">
        <v>5.9740900000000003</v>
      </c>
      <c r="E115">
        <v>0.18412899999999999</v>
      </c>
    </row>
    <row r="116" spans="1:5" x14ac:dyDescent="0.25">
      <c r="A116" t="s">
        <v>86</v>
      </c>
      <c r="B116">
        <v>2.5</v>
      </c>
      <c r="C116">
        <v>0.5</v>
      </c>
      <c r="D116">
        <v>0.63471699999999998</v>
      </c>
      <c r="E116">
        <v>0.994147</v>
      </c>
    </row>
    <row r="117" spans="1:5" x14ac:dyDescent="0.25">
      <c r="A117" t="s">
        <v>86</v>
      </c>
      <c r="B117">
        <v>2.5</v>
      </c>
      <c r="C117">
        <v>0.5</v>
      </c>
      <c r="D117">
        <v>0.827569</v>
      </c>
      <c r="E117">
        <v>0.98015699999999994</v>
      </c>
    </row>
    <row r="118" spans="1:5" x14ac:dyDescent="0.25">
      <c r="A118" t="s">
        <v>86</v>
      </c>
      <c r="B118">
        <v>2.5</v>
      </c>
      <c r="C118">
        <v>0.5</v>
      </c>
      <c r="D118">
        <v>1.005063</v>
      </c>
      <c r="E118">
        <v>0.96523400000000004</v>
      </c>
    </row>
    <row r="119" spans="1:5" x14ac:dyDescent="0.25">
      <c r="A119" t="s">
        <v>86</v>
      </c>
      <c r="B119">
        <v>2.5</v>
      </c>
      <c r="C119">
        <v>0.5</v>
      </c>
      <c r="D119">
        <v>1.163478</v>
      </c>
      <c r="E119">
        <v>0.94576700000000002</v>
      </c>
    </row>
    <row r="120" spans="1:5" x14ac:dyDescent="0.25">
      <c r="A120" t="s">
        <v>86</v>
      </c>
      <c r="B120">
        <v>2.5</v>
      </c>
      <c r="C120">
        <v>0.5</v>
      </c>
      <c r="D120">
        <v>1.2949949999999999</v>
      </c>
      <c r="E120">
        <v>0.925342</v>
      </c>
    </row>
    <row r="121" spans="1:5" x14ac:dyDescent="0.25">
      <c r="A121" t="s">
        <v>86</v>
      </c>
      <c r="B121">
        <v>2.5</v>
      </c>
      <c r="C121">
        <v>0.5</v>
      </c>
      <c r="D121">
        <v>1.4382079999999999</v>
      </c>
      <c r="E121">
        <v>0.90044000000000002</v>
      </c>
    </row>
    <row r="122" spans="1:5" x14ac:dyDescent="0.25">
      <c r="A122" t="s">
        <v>86</v>
      </c>
      <c r="B122">
        <v>2.5</v>
      </c>
      <c r="C122">
        <v>0.5</v>
      </c>
      <c r="D122">
        <v>1.604754</v>
      </c>
      <c r="E122">
        <v>0.86838499999999996</v>
      </c>
    </row>
    <row r="123" spans="1:5" x14ac:dyDescent="0.25">
      <c r="A123" t="s">
        <v>86</v>
      </c>
      <c r="B123">
        <v>2.5</v>
      </c>
      <c r="C123">
        <v>0.5</v>
      </c>
      <c r="D123">
        <v>1.724885</v>
      </c>
      <c r="E123">
        <v>0.84343299999999999</v>
      </c>
    </row>
    <row r="124" spans="1:5" x14ac:dyDescent="0.25">
      <c r="A124" t="s">
        <v>86</v>
      </c>
      <c r="B124">
        <v>2.5</v>
      </c>
      <c r="C124">
        <v>0.5</v>
      </c>
      <c r="D124">
        <v>1.9612080000000001</v>
      </c>
      <c r="E124">
        <v>0.79622099999999996</v>
      </c>
    </row>
    <row r="125" spans="1:5" x14ac:dyDescent="0.25">
      <c r="A125" t="s">
        <v>86</v>
      </c>
      <c r="B125">
        <v>2.5</v>
      </c>
      <c r="C125">
        <v>0.5</v>
      </c>
      <c r="D125">
        <v>2.1935579999999999</v>
      </c>
      <c r="E125">
        <v>0.75260300000000002</v>
      </c>
    </row>
    <row r="126" spans="1:5" x14ac:dyDescent="0.25">
      <c r="A126" t="s">
        <v>86</v>
      </c>
      <c r="B126">
        <v>2.5</v>
      </c>
      <c r="C126">
        <v>0.5</v>
      </c>
      <c r="D126">
        <v>2.4064860000000001</v>
      </c>
      <c r="E126">
        <v>0.71434600000000004</v>
      </c>
    </row>
    <row r="127" spans="1:5" x14ac:dyDescent="0.25">
      <c r="A127" t="s">
        <v>86</v>
      </c>
      <c r="B127">
        <v>2.5</v>
      </c>
      <c r="C127">
        <v>0.5</v>
      </c>
      <c r="D127">
        <v>2.6076860000000002</v>
      </c>
      <c r="E127">
        <v>0.68146499999999999</v>
      </c>
    </row>
    <row r="128" spans="1:5" x14ac:dyDescent="0.25">
      <c r="A128" t="s">
        <v>86</v>
      </c>
      <c r="B128">
        <v>2.5</v>
      </c>
      <c r="C128">
        <v>0.5</v>
      </c>
      <c r="D128">
        <v>3.0021740000000001</v>
      </c>
      <c r="E128">
        <v>0.62199000000000004</v>
      </c>
    </row>
    <row r="129" spans="1:5" x14ac:dyDescent="0.25">
      <c r="A129" t="s">
        <v>86</v>
      </c>
      <c r="B129">
        <v>2.5</v>
      </c>
      <c r="C129">
        <v>0.5</v>
      </c>
      <c r="D129">
        <v>3.2109749999999999</v>
      </c>
      <c r="E129">
        <v>0.59182699999999999</v>
      </c>
    </row>
    <row r="130" spans="1:5" x14ac:dyDescent="0.25">
      <c r="A130" t="s">
        <v>86</v>
      </c>
      <c r="B130">
        <v>2.5</v>
      </c>
      <c r="C130">
        <v>0.5</v>
      </c>
      <c r="D130">
        <v>3.4660340000000001</v>
      </c>
      <c r="E130">
        <v>0.55906299999999998</v>
      </c>
    </row>
    <row r="131" spans="1:5" x14ac:dyDescent="0.25">
      <c r="A131" t="s">
        <v>86</v>
      </c>
      <c r="B131">
        <v>2.5</v>
      </c>
      <c r="C131">
        <v>0.5</v>
      </c>
      <c r="D131">
        <v>3.736418</v>
      </c>
      <c r="E131">
        <v>0.52813299999999996</v>
      </c>
    </row>
    <row r="132" spans="1:5" x14ac:dyDescent="0.25">
      <c r="A132" t="s">
        <v>86</v>
      </c>
      <c r="B132">
        <v>2.5</v>
      </c>
      <c r="C132">
        <v>0.5</v>
      </c>
      <c r="D132">
        <v>4.0029250000000003</v>
      </c>
      <c r="E132">
        <v>0.49809399999999998</v>
      </c>
    </row>
    <row r="133" spans="1:5" x14ac:dyDescent="0.25">
      <c r="A133" t="s">
        <v>86</v>
      </c>
      <c r="B133">
        <v>2.5</v>
      </c>
      <c r="C133">
        <v>0.5</v>
      </c>
      <c r="D133">
        <v>4.2306800000000004</v>
      </c>
      <c r="E133">
        <v>0.476076</v>
      </c>
    </row>
    <row r="134" spans="1:5" x14ac:dyDescent="0.25">
      <c r="A134" t="s">
        <v>86</v>
      </c>
      <c r="B134">
        <v>2.5</v>
      </c>
      <c r="C134">
        <v>0.5</v>
      </c>
      <c r="D134">
        <v>4.5895780000000004</v>
      </c>
      <c r="E134">
        <v>0.44443700000000003</v>
      </c>
    </row>
    <row r="135" spans="1:5" x14ac:dyDescent="0.25">
      <c r="A135" t="s">
        <v>86</v>
      </c>
      <c r="B135">
        <v>2.5</v>
      </c>
      <c r="C135">
        <v>0.5</v>
      </c>
      <c r="D135">
        <v>4.8480790000000002</v>
      </c>
      <c r="E135">
        <v>0.42338599999999998</v>
      </c>
    </row>
    <row r="136" spans="1:5" x14ac:dyDescent="0.25">
      <c r="A136" t="s">
        <v>86</v>
      </c>
      <c r="B136">
        <v>2.5</v>
      </c>
      <c r="C136">
        <v>0.5</v>
      </c>
      <c r="D136">
        <v>5.2453219999999998</v>
      </c>
      <c r="E136">
        <v>0.39543099999999998</v>
      </c>
    </row>
    <row r="137" spans="1:5" x14ac:dyDescent="0.25">
      <c r="A137" t="s">
        <v>86</v>
      </c>
      <c r="B137">
        <v>2.5</v>
      </c>
      <c r="C137">
        <v>0.5</v>
      </c>
      <c r="D137">
        <v>5.503698</v>
      </c>
      <c r="E137">
        <v>0.37798100000000001</v>
      </c>
    </row>
    <row r="138" spans="1:5" x14ac:dyDescent="0.25">
      <c r="A138" t="s">
        <v>86</v>
      </c>
      <c r="B138">
        <v>2.5</v>
      </c>
      <c r="C138">
        <v>0.5</v>
      </c>
      <c r="D138">
        <v>5.7966660000000001</v>
      </c>
      <c r="E138">
        <v>0.36150599999999999</v>
      </c>
    </row>
    <row r="139" spans="1:5" x14ac:dyDescent="0.25">
      <c r="A139" t="s">
        <v>86</v>
      </c>
      <c r="B139">
        <v>2.5</v>
      </c>
      <c r="C139">
        <v>0.5</v>
      </c>
      <c r="D139">
        <v>5.9315619999999996</v>
      </c>
      <c r="E139">
        <v>0.35459400000000002</v>
      </c>
    </row>
    <row r="140" spans="1:5" x14ac:dyDescent="0.25">
      <c r="A140" t="s">
        <v>86</v>
      </c>
      <c r="B140">
        <v>2.5</v>
      </c>
      <c r="C140">
        <v>1</v>
      </c>
      <c r="D140">
        <v>0.50882499999999997</v>
      </c>
      <c r="E140">
        <v>0.96326100000000003</v>
      </c>
    </row>
    <row r="141" spans="1:5" x14ac:dyDescent="0.25">
      <c r="A141" t="s">
        <v>86</v>
      </c>
      <c r="B141">
        <v>2.5</v>
      </c>
      <c r="C141">
        <v>1</v>
      </c>
      <c r="D141">
        <v>0.74105100000000002</v>
      </c>
      <c r="E141">
        <v>0.92324399999999995</v>
      </c>
    </row>
    <row r="142" spans="1:5" x14ac:dyDescent="0.25">
      <c r="A142" t="s">
        <v>86</v>
      </c>
      <c r="B142">
        <v>2.5</v>
      </c>
      <c r="C142">
        <v>1</v>
      </c>
      <c r="D142">
        <v>0.93852800000000003</v>
      </c>
      <c r="E142">
        <v>0.88675400000000004</v>
      </c>
    </row>
    <row r="143" spans="1:5" x14ac:dyDescent="0.25">
      <c r="A143" t="s">
        <v>86</v>
      </c>
      <c r="B143">
        <v>2.5</v>
      </c>
      <c r="C143">
        <v>1</v>
      </c>
      <c r="D143">
        <v>1.244534</v>
      </c>
      <c r="E143">
        <v>0.82708800000000005</v>
      </c>
    </row>
    <row r="144" spans="1:5" x14ac:dyDescent="0.25">
      <c r="A144" t="s">
        <v>86</v>
      </c>
      <c r="B144">
        <v>2.5</v>
      </c>
      <c r="C144">
        <v>1</v>
      </c>
      <c r="D144">
        <v>1.473006</v>
      </c>
      <c r="E144">
        <v>0.78436099999999997</v>
      </c>
    </row>
    <row r="145" spans="1:5" x14ac:dyDescent="0.25">
      <c r="A145" t="s">
        <v>86</v>
      </c>
      <c r="B145">
        <v>2.5</v>
      </c>
      <c r="C145">
        <v>1</v>
      </c>
      <c r="D145">
        <v>1.666606</v>
      </c>
      <c r="E145">
        <v>0.74876299999999996</v>
      </c>
    </row>
    <row r="146" spans="1:5" x14ac:dyDescent="0.25">
      <c r="A146" t="s">
        <v>86</v>
      </c>
      <c r="B146">
        <v>2.5</v>
      </c>
      <c r="C146">
        <v>1</v>
      </c>
      <c r="D146">
        <v>1.9144380000000001</v>
      </c>
      <c r="E146">
        <v>0.70247700000000002</v>
      </c>
    </row>
    <row r="147" spans="1:5" x14ac:dyDescent="0.25">
      <c r="A147" t="s">
        <v>86</v>
      </c>
      <c r="B147">
        <v>2.5</v>
      </c>
      <c r="C147">
        <v>1</v>
      </c>
      <c r="D147">
        <v>2.305266</v>
      </c>
      <c r="E147">
        <v>0.63759200000000005</v>
      </c>
    </row>
    <row r="148" spans="1:5" x14ac:dyDescent="0.25">
      <c r="A148" t="s">
        <v>86</v>
      </c>
      <c r="B148">
        <v>2.5</v>
      </c>
      <c r="C148">
        <v>1</v>
      </c>
      <c r="D148">
        <v>2.5528490000000001</v>
      </c>
      <c r="E148">
        <v>0.59850800000000004</v>
      </c>
    </row>
    <row r="149" spans="1:5" x14ac:dyDescent="0.25">
      <c r="A149" t="s">
        <v>86</v>
      </c>
      <c r="B149">
        <v>2.5</v>
      </c>
      <c r="C149">
        <v>1</v>
      </c>
      <c r="D149">
        <v>2.8196050000000001</v>
      </c>
      <c r="E149">
        <v>0.56126699999999996</v>
      </c>
    </row>
    <row r="150" spans="1:5" x14ac:dyDescent="0.25">
      <c r="A150" t="s">
        <v>86</v>
      </c>
      <c r="B150">
        <v>2.5</v>
      </c>
      <c r="C150">
        <v>1</v>
      </c>
      <c r="D150">
        <v>3.1982680000000001</v>
      </c>
      <c r="E150">
        <v>0.51436400000000004</v>
      </c>
    </row>
    <row r="151" spans="1:5" x14ac:dyDescent="0.25">
      <c r="A151" t="s">
        <v>86</v>
      </c>
      <c r="B151">
        <v>2.5</v>
      </c>
      <c r="C151">
        <v>1</v>
      </c>
      <c r="D151">
        <v>3.5921630000000002</v>
      </c>
      <c r="E151">
        <v>0.471995</v>
      </c>
    </row>
    <row r="152" spans="1:5" x14ac:dyDescent="0.25">
      <c r="A152" t="s">
        <v>86</v>
      </c>
      <c r="B152">
        <v>2.5</v>
      </c>
      <c r="C152">
        <v>1</v>
      </c>
      <c r="D152">
        <v>3.87018</v>
      </c>
      <c r="E152">
        <v>0.442882</v>
      </c>
    </row>
    <row r="153" spans="1:5" x14ac:dyDescent="0.25">
      <c r="A153" t="s">
        <v>86</v>
      </c>
      <c r="B153">
        <v>2.5</v>
      </c>
      <c r="C153">
        <v>1</v>
      </c>
      <c r="D153">
        <v>4.2136269999999998</v>
      </c>
      <c r="E153">
        <v>0.41300999999999999</v>
      </c>
    </row>
    <row r="154" spans="1:5" x14ac:dyDescent="0.25">
      <c r="A154" t="s">
        <v>86</v>
      </c>
      <c r="B154">
        <v>2.5</v>
      </c>
      <c r="C154">
        <v>1</v>
      </c>
      <c r="D154">
        <v>4.4682810000000002</v>
      </c>
      <c r="E154">
        <v>0.39195099999999999</v>
      </c>
    </row>
    <row r="155" spans="1:5" x14ac:dyDescent="0.25">
      <c r="A155" t="s">
        <v>86</v>
      </c>
      <c r="B155">
        <v>2.5</v>
      </c>
      <c r="C155">
        <v>1</v>
      </c>
      <c r="D155">
        <v>4.8038470000000002</v>
      </c>
      <c r="E155">
        <v>0.36746400000000001</v>
      </c>
    </row>
    <row r="156" spans="1:5" x14ac:dyDescent="0.25">
      <c r="A156" t="s">
        <v>86</v>
      </c>
      <c r="B156">
        <v>2.5</v>
      </c>
      <c r="C156">
        <v>1</v>
      </c>
      <c r="D156">
        <v>5.0737639999999997</v>
      </c>
      <c r="E156">
        <v>0.35003899999999999</v>
      </c>
    </row>
    <row r="157" spans="1:5" x14ac:dyDescent="0.25">
      <c r="A157" t="s">
        <v>86</v>
      </c>
      <c r="B157">
        <v>2.5</v>
      </c>
      <c r="C157">
        <v>1</v>
      </c>
      <c r="D157">
        <v>5.4014179999999996</v>
      </c>
      <c r="E157">
        <v>0.331839</v>
      </c>
    </row>
    <row r="158" spans="1:5" x14ac:dyDescent="0.25">
      <c r="A158" t="s">
        <v>86</v>
      </c>
      <c r="B158">
        <v>2.5</v>
      </c>
      <c r="C158">
        <v>1</v>
      </c>
      <c r="D158">
        <v>5.7444290000000002</v>
      </c>
      <c r="E158">
        <v>0.31457200000000002</v>
      </c>
    </row>
    <row r="159" spans="1:5" x14ac:dyDescent="0.25">
      <c r="A159" t="s">
        <v>86</v>
      </c>
      <c r="B159">
        <v>2.5</v>
      </c>
      <c r="C159">
        <v>1</v>
      </c>
      <c r="D159">
        <v>5.9062849999999996</v>
      </c>
      <c r="E159">
        <v>0.30681799999999998</v>
      </c>
    </row>
    <row r="160" spans="1:5" x14ac:dyDescent="0.25">
      <c r="A160" t="s">
        <v>86</v>
      </c>
      <c r="B160">
        <v>2.5</v>
      </c>
      <c r="C160">
        <v>1.5</v>
      </c>
      <c r="D160">
        <v>0.49847000000000002</v>
      </c>
      <c r="E160">
        <v>0.64452799999999999</v>
      </c>
    </row>
    <row r="161" spans="1:5" x14ac:dyDescent="0.25">
      <c r="A161" t="s">
        <v>86</v>
      </c>
      <c r="B161">
        <v>2.5</v>
      </c>
      <c r="C161">
        <v>1.5</v>
      </c>
      <c r="D161">
        <v>0.70992299999999997</v>
      </c>
      <c r="E161">
        <v>0.617757</v>
      </c>
    </row>
    <row r="162" spans="1:5" x14ac:dyDescent="0.25">
      <c r="A162" t="s">
        <v>86</v>
      </c>
      <c r="B162">
        <v>2.5</v>
      </c>
      <c r="C162">
        <v>1.5</v>
      </c>
      <c r="D162">
        <v>0.93804100000000001</v>
      </c>
      <c r="E162">
        <v>0.58972400000000003</v>
      </c>
    </row>
    <row r="163" spans="1:5" x14ac:dyDescent="0.25">
      <c r="A163" t="s">
        <v>86</v>
      </c>
      <c r="B163">
        <v>2.5</v>
      </c>
      <c r="C163">
        <v>1.5</v>
      </c>
      <c r="D163">
        <v>1.176852</v>
      </c>
      <c r="E163">
        <v>0.55951799999999996</v>
      </c>
    </row>
    <row r="164" spans="1:5" x14ac:dyDescent="0.25">
      <c r="A164" t="s">
        <v>86</v>
      </c>
      <c r="B164">
        <v>2.5</v>
      </c>
      <c r="C164">
        <v>1.5</v>
      </c>
      <c r="D164">
        <v>1.424248</v>
      </c>
      <c r="E164">
        <v>0.525837</v>
      </c>
    </row>
    <row r="165" spans="1:5" x14ac:dyDescent="0.25">
      <c r="A165" t="s">
        <v>86</v>
      </c>
      <c r="B165">
        <v>2.5</v>
      </c>
      <c r="C165">
        <v>1.5</v>
      </c>
      <c r="D165">
        <v>1.7179329999999999</v>
      </c>
      <c r="E165">
        <v>0.48865399999999998</v>
      </c>
    </row>
    <row r="166" spans="1:5" x14ac:dyDescent="0.25">
      <c r="A166" t="s">
        <v>86</v>
      </c>
      <c r="B166">
        <v>2.5</v>
      </c>
      <c r="C166">
        <v>1.5</v>
      </c>
      <c r="D166">
        <v>1.926547</v>
      </c>
      <c r="E166">
        <v>0.46389399999999997</v>
      </c>
    </row>
    <row r="167" spans="1:5" x14ac:dyDescent="0.25">
      <c r="A167" t="s">
        <v>86</v>
      </c>
      <c r="B167">
        <v>2.5</v>
      </c>
      <c r="C167">
        <v>1.5</v>
      </c>
      <c r="D167">
        <v>2.1929910000000001</v>
      </c>
      <c r="E167">
        <v>0.43565599999999999</v>
      </c>
    </row>
    <row r="168" spans="1:5" x14ac:dyDescent="0.25">
      <c r="A168" t="s">
        <v>86</v>
      </c>
      <c r="B168">
        <v>2.5</v>
      </c>
      <c r="C168">
        <v>1.5</v>
      </c>
      <c r="D168">
        <v>2.428534</v>
      </c>
      <c r="E168">
        <v>0.41095399999999999</v>
      </c>
    </row>
    <row r="169" spans="1:5" x14ac:dyDescent="0.25">
      <c r="A169" t="s">
        <v>86</v>
      </c>
      <c r="B169">
        <v>2.5</v>
      </c>
      <c r="C169">
        <v>1.5</v>
      </c>
      <c r="D169">
        <v>2.7797689999999999</v>
      </c>
      <c r="E169">
        <v>0.37839699999999998</v>
      </c>
    </row>
    <row r="170" spans="1:5" x14ac:dyDescent="0.25">
      <c r="A170" t="s">
        <v>86</v>
      </c>
      <c r="B170">
        <v>2.5</v>
      </c>
      <c r="C170">
        <v>1.5</v>
      </c>
      <c r="D170">
        <v>3.0961620000000001</v>
      </c>
      <c r="E170">
        <v>0.35206900000000002</v>
      </c>
    </row>
    <row r="171" spans="1:5" x14ac:dyDescent="0.25">
      <c r="A171" t="s">
        <v>86</v>
      </c>
      <c r="B171">
        <v>2.5</v>
      </c>
      <c r="C171">
        <v>1.5</v>
      </c>
      <c r="D171">
        <v>3.4780489999999999</v>
      </c>
      <c r="E171">
        <v>0.32318000000000002</v>
      </c>
    </row>
    <row r="172" spans="1:5" x14ac:dyDescent="0.25">
      <c r="A172" t="s">
        <v>86</v>
      </c>
      <c r="B172">
        <v>2.5</v>
      </c>
      <c r="C172">
        <v>1.5</v>
      </c>
      <c r="D172">
        <v>3.906069</v>
      </c>
      <c r="E172">
        <v>0.295292</v>
      </c>
    </row>
    <row r="173" spans="1:5" x14ac:dyDescent="0.25">
      <c r="A173" t="s">
        <v>86</v>
      </c>
      <c r="B173">
        <v>2.5</v>
      </c>
      <c r="C173">
        <v>1.5</v>
      </c>
      <c r="D173">
        <v>4.3571400000000002</v>
      </c>
      <c r="E173">
        <v>0.26835399999999998</v>
      </c>
    </row>
    <row r="174" spans="1:5" x14ac:dyDescent="0.25">
      <c r="A174" t="s">
        <v>86</v>
      </c>
      <c r="B174">
        <v>2.5</v>
      </c>
      <c r="C174">
        <v>1.5</v>
      </c>
      <c r="D174">
        <v>4.7117550000000001</v>
      </c>
      <c r="E174">
        <v>0.249311</v>
      </c>
    </row>
    <row r="175" spans="1:5" x14ac:dyDescent="0.25">
      <c r="A175" t="s">
        <v>86</v>
      </c>
      <c r="B175">
        <v>2.5</v>
      </c>
      <c r="C175">
        <v>1.5</v>
      </c>
      <c r="D175">
        <v>5.0700909999999997</v>
      </c>
      <c r="E175">
        <v>0.233878</v>
      </c>
    </row>
    <row r="176" spans="1:5" x14ac:dyDescent="0.25">
      <c r="A176" t="s">
        <v>86</v>
      </c>
      <c r="B176">
        <v>2.5</v>
      </c>
      <c r="C176">
        <v>1.5</v>
      </c>
      <c r="D176">
        <v>5.5207569999999997</v>
      </c>
      <c r="E176">
        <v>0.21864400000000001</v>
      </c>
    </row>
    <row r="177" spans="1:5" x14ac:dyDescent="0.25">
      <c r="A177" t="s">
        <v>86</v>
      </c>
      <c r="B177">
        <v>2.5</v>
      </c>
      <c r="C177">
        <v>1.5</v>
      </c>
      <c r="D177">
        <v>5.763496</v>
      </c>
      <c r="E177">
        <v>0.20836399999999999</v>
      </c>
    </row>
    <row r="178" spans="1:5" x14ac:dyDescent="0.25">
      <c r="A178" t="s">
        <v>86</v>
      </c>
      <c r="B178">
        <v>2.5</v>
      </c>
      <c r="C178">
        <v>1.5</v>
      </c>
      <c r="D178">
        <v>5.9175649999999997</v>
      </c>
      <c r="E178">
        <v>0.203294</v>
      </c>
    </row>
    <row r="179" spans="1:5" x14ac:dyDescent="0.25">
      <c r="A179" t="s">
        <v>86</v>
      </c>
      <c r="B179">
        <v>2.5</v>
      </c>
      <c r="C179">
        <v>2</v>
      </c>
      <c r="D179">
        <v>0.49854199999999999</v>
      </c>
      <c r="E179">
        <v>0.48245399999999999</v>
      </c>
    </row>
    <row r="180" spans="1:5" x14ac:dyDescent="0.25">
      <c r="A180" t="s">
        <v>86</v>
      </c>
      <c r="B180">
        <v>2.5</v>
      </c>
      <c r="C180">
        <v>2</v>
      </c>
      <c r="D180">
        <v>0.72084999999999999</v>
      </c>
      <c r="E180">
        <v>0.46218900000000002</v>
      </c>
    </row>
    <row r="181" spans="1:5" x14ac:dyDescent="0.25">
      <c r="A181" t="s">
        <v>86</v>
      </c>
      <c r="B181">
        <v>2.5</v>
      </c>
      <c r="C181">
        <v>2</v>
      </c>
      <c r="D181">
        <v>0.93761899999999998</v>
      </c>
      <c r="E181">
        <v>0.441911</v>
      </c>
    </row>
    <row r="182" spans="1:5" x14ac:dyDescent="0.25">
      <c r="A182" t="s">
        <v>86</v>
      </c>
      <c r="B182">
        <v>2.5</v>
      </c>
      <c r="C182">
        <v>2</v>
      </c>
      <c r="D182">
        <v>1.1710510000000001</v>
      </c>
      <c r="E182">
        <v>0.42037400000000003</v>
      </c>
    </row>
    <row r="183" spans="1:5" x14ac:dyDescent="0.25">
      <c r="A183" t="s">
        <v>86</v>
      </c>
      <c r="B183">
        <v>2.5</v>
      </c>
      <c r="C183">
        <v>2</v>
      </c>
      <c r="D183">
        <v>1.398944</v>
      </c>
      <c r="E183">
        <v>0.39882400000000001</v>
      </c>
    </row>
    <row r="184" spans="1:5" x14ac:dyDescent="0.25">
      <c r="A184" t="s">
        <v>86</v>
      </c>
      <c r="B184">
        <v>2.5</v>
      </c>
      <c r="C184">
        <v>2</v>
      </c>
      <c r="D184">
        <v>1.7213719999999999</v>
      </c>
      <c r="E184">
        <v>0.36710599999999999</v>
      </c>
    </row>
    <row r="185" spans="1:5" x14ac:dyDescent="0.25">
      <c r="A185" t="s">
        <v>86</v>
      </c>
      <c r="B185">
        <v>2.5</v>
      </c>
      <c r="C185">
        <v>2</v>
      </c>
      <c r="D185">
        <v>2.0325410000000002</v>
      </c>
      <c r="E185">
        <v>0.34055000000000002</v>
      </c>
    </row>
    <row r="186" spans="1:5" x14ac:dyDescent="0.25">
      <c r="A186" t="s">
        <v>86</v>
      </c>
      <c r="B186">
        <v>2.5</v>
      </c>
      <c r="C186">
        <v>2</v>
      </c>
      <c r="D186">
        <v>2.415861</v>
      </c>
      <c r="E186">
        <v>0.31025999999999998</v>
      </c>
    </row>
    <row r="187" spans="1:5" x14ac:dyDescent="0.25">
      <c r="A187" t="s">
        <v>86</v>
      </c>
      <c r="B187">
        <v>2.5</v>
      </c>
      <c r="C187">
        <v>2</v>
      </c>
      <c r="D187">
        <v>2.8379150000000002</v>
      </c>
      <c r="E187">
        <v>0.28134999999999999</v>
      </c>
    </row>
    <row r="188" spans="1:5" x14ac:dyDescent="0.25">
      <c r="A188" t="s">
        <v>86</v>
      </c>
      <c r="B188">
        <v>2.5</v>
      </c>
      <c r="C188">
        <v>2</v>
      </c>
      <c r="D188">
        <v>3.2709589999999999</v>
      </c>
      <c r="E188">
        <v>0.25505800000000001</v>
      </c>
    </row>
    <row r="189" spans="1:5" x14ac:dyDescent="0.25">
      <c r="A189" t="s">
        <v>86</v>
      </c>
      <c r="B189">
        <v>2.5</v>
      </c>
      <c r="C189">
        <v>2</v>
      </c>
      <c r="D189">
        <v>3.6262660000000002</v>
      </c>
      <c r="E189">
        <v>0.23378299999999999</v>
      </c>
    </row>
    <row r="190" spans="1:5" x14ac:dyDescent="0.25">
      <c r="A190" t="s">
        <v>86</v>
      </c>
      <c r="B190">
        <v>2.5</v>
      </c>
      <c r="C190">
        <v>2</v>
      </c>
      <c r="D190">
        <v>4.009137</v>
      </c>
      <c r="E190">
        <v>0.21645800000000001</v>
      </c>
    </row>
    <row r="191" spans="1:5" x14ac:dyDescent="0.25">
      <c r="A191" t="s">
        <v>86</v>
      </c>
      <c r="B191">
        <v>2.5</v>
      </c>
      <c r="C191">
        <v>2</v>
      </c>
      <c r="D191">
        <v>4.4363710000000003</v>
      </c>
      <c r="E191">
        <v>0.197933</v>
      </c>
    </row>
    <row r="192" spans="1:5" x14ac:dyDescent="0.25">
      <c r="A192" t="s">
        <v>86</v>
      </c>
      <c r="B192">
        <v>2.5</v>
      </c>
      <c r="C192">
        <v>2</v>
      </c>
      <c r="D192">
        <v>4.8357720000000004</v>
      </c>
      <c r="E192">
        <v>0.18323600000000001</v>
      </c>
    </row>
    <row r="193" spans="1:5" x14ac:dyDescent="0.25">
      <c r="A193" t="s">
        <v>86</v>
      </c>
      <c r="B193">
        <v>2.5</v>
      </c>
      <c r="C193">
        <v>2</v>
      </c>
      <c r="D193">
        <v>5.2406680000000003</v>
      </c>
      <c r="E193">
        <v>0.169849</v>
      </c>
    </row>
    <row r="194" spans="1:5" x14ac:dyDescent="0.25">
      <c r="A194" t="s">
        <v>86</v>
      </c>
      <c r="B194">
        <v>2.5</v>
      </c>
      <c r="C194">
        <v>2</v>
      </c>
      <c r="D194">
        <v>5.4957659999999997</v>
      </c>
      <c r="E194">
        <v>0.16262099999999999</v>
      </c>
    </row>
    <row r="195" spans="1:5" x14ac:dyDescent="0.25">
      <c r="A195" t="s">
        <v>86</v>
      </c>
      <c r="B195">
        <v>2.5</v>
      </c>
      <c r="C195">
        <v>2</v>
      </c>
      <c r="D195">
        <v>5.7008710000000002</v>
      </c>
      <c r="E195">
        <v>0.15917400000000001</v>
      </c>
    </row>
    <row r="196" spans="1:5" x14ac:dyDescent="0.25">
      <c r="A196" t="s">
        <v>86</v>
      </c>
      <c r="B196">
        <v>2.5</v>
      </c>
      <c r="C196">
        <v>2</v>
      </c>
      <c r="D196">
        <v>5.8949870000000004</v>
      </c>
      <c r="E196">
        <v>0.153111</v>
      </c>
    </row>
    <row r="197" spans="1:5" x14ac:dyDescent="0.25">
      <c r="A197" t="s">
        <v>86</v>
      </c>
      <c r="B197">
        <v>4</v>
      </c>
      <c r="C197">
        <v>0.5</v>
      </c>
      <c r="D197">
        <v>0.60615699999999995</v>
      </c>
      <c r="E197">
        <v>0.99497000000000002</v>
      </c>
    </row>
    <row r="198" spans="1:5" x14ac:dyDescent="0.25">
      <c r="A198" t="s">
        <v>86</v>
      </c>
      <c r="B198">
        <v>4</v>
      </c>
      <c r="C198">
        <v>0.5</v>
      </c>
      <c r="D198">
        <v>0.82716800000000001</v>
      </c>
      <c r="E198">
        <v>0.97993600000000003</v>
      </c>
    </row>
    <row r="199" spans="1:5" x14ac:dyDescent="0.25">
      <c r="A199" t="s">
        <v>86</v>
      </c>
      <c r="B199">
        <v>4</v>
      </c>
      <c r="C199">
        <v>0.5</v>
      </c>
      <c r="D199">
        <v>0.98206099999999996</v>
      </c>
      <c r="E199">
        <v>0.96604199999999996</v>
      </c>
    </row>
    <row r="200" spans="1:5" x14ac:dyDescent="0.25">
      <c r="A200" t="s">
        <v>86</v>
      </c>
      <c r="B200">
        <v>4</v>
      </c>
      <c r="C200">
        <v>0.5</v>
      </c>
      <c r="D200">
        <v>1.1761239999999999</v>
      </c>
      <c r="E200">
        <v>0.94057100000000005</v>
      </c>
    </row>
    <row r="201" spans="1:5" x14ac:dyDescent="0.25">
      <c r="A201" t="s">
        <v>86</v>
      </c>
      <c r="B201">
        <v>4</v>
      </c>
      <c r="C201">
        <v>0.5</v>
      </c>
      <c r="D201">
        <v>1.4039950000000001</v>
      </c>
      <c r="E201">
        <v>0.90091900000000003</v>
      </c>
    </row>
    <row r="202" spans="1:5" x14ac:dyDescent="0.25">
      <c r="A202" t="s">
        <v>86</v>
      </c>
      <c r="B202">
        <v>4</v>
      </c>
      <c r="C202">
        <v>0.5</v>
      </c>
      <c r="D202">
        <v>1.654452</v>
      </c>
      <c r="E202">
        <v>0.85094700000000001</v>
      </c>
    </row>
    <row r="203" spans="1:5" x14ac:dyDescent="0.25">
      <c r="A203" t="s">
        <v>86</v>
      </c>
      <c r="B203">
        <v>4</v>
      </c>
      <c r="C203">
        <v>0.5</v>
      </c>
      <c r="D203">
        <v>1.8826080000000001</v>
      </c>
      <c r="E203">
        <v>0.80610800000000005</v>
      </c>
    </row>
    <row r="204" spans="1:5" x14ac:dyDescent="0.25">
      <c r="A204" t="s">
        <v>86</v>
      </c>
      <c r="B204">
        <v>4</v>
      </c>
      <c r="C204">
        <v>0.5</v>
      </c>
      <c r="D204">
        <v>2.121915</v>
      </c>
      <c r="E204">
        <v>0.75870300000000002</v>
      </c>
    </row>
    <row r="205" spans="1:5" x14ac:dyDescent="0.25">
      <c r="A205" t="s">
        <v>86</v>
      </c>
      <c r="B205">
        <v>4</v>
      </c>
      <c r="C205">
        <v>0.5</v>
      </c>
      <c r="D205">
        <v>2.295026</v>
      </c>
      <c r="E205">
        <v>0.72774399999999995</v>
      </c>
    </row>
    <row r="206" spans="1:5" x14ac:dyDescent="0.25">
      <c r="A206" t="s">
        <v>86</v>
      </c>
      <c r="B206">
        <v>4</v>
      </c>
      <c r="C206">
        <v>0.5</v>
      </c>
      <c r="D206">
        <v>2.4455749999999998</v>
      </c>
      <c r="E206">
        <v>0.70108899999999996</v>
      </c>
    </row>
    <row r="207" spans="1:5" x14ac:dyDescent="0.25">
      <c r="A207" t="s">
        <v>86</v>
      </c>
      <c r="B207">
        <v>4</v>
      </c>
      <c r="C207">
        <v>0.5</v>
      </c>
      <c r="D207">
        <v>2.6229300000000002</v>
      </c>
      <c r="E207">
        <v>0.67359800000000003</v>
      </c>
    </row>
    <row r="208" spans="1:5" x14ac:dyDescent="0.25">
      <c r="A208" t="s">
        <v>86</v>
      </c>
      <c r="B208">
        <v>4</v>
      </c>
      <c r="C208">
        <v>0.5</v>
      </c>
      <c r="D208">
        <v>2.8117999999999999</v>
      </c>
      <c r="E208">
        <v>0.64523399999999997</v>
      </c>
    </row>
    <row r="209" spans="1:5" x14ac:dyDescent="0.25">
      <c r="A209" t="s">
        <v>86</v>
      </c>
      <c r="B209">
        <v>4</v>
      </c>
      <c r="C209">
        <v>0.5</v>
      </c>
      <c r="D209">
        <v>3.050605</v>
      </c>
      <c r="E209">
        <v>0.61248599999999997</v>
      </c>
    </row>
    <row r="210" spans="1:5" x14ac:dyDescent="0.25">
      <c r="A210" t="s">
        <v>86</v>
      </c>
      <c r="B210">
        <v>4</v>
      </c>
      <c r="C210">
        <v>0.5</v>
      </c>
      <c r="D210">
        <v>3.2585860000000002</v>
      </c>
      <c r="E210">
        <v>0.58416699999999999</v>
      </c>
    </row>
    <row r="211" spans="1:5" x14ac:dyDescent="0.25">
      <c r="A211" t="s">
        <v>86</v>
      </c>
      <c r="B211">
        <v>4</v>
      </c>
      <c r="C211">
        <v>0.5</v>
      </c>
      <c r="D211">
        <v>3.4510800000000001</v>
      </c>
      <c r="E211">
        <v>0.55941300000000005</v>
      </c>
    </row>
    <row r="212" spans="1:5" x14ac:dyDescent="0.25">
      <c r="A212" t="s">
        <v>86</v>
      </c>
      <c r="B212">
        <v>4</v>
      </c>
      <c r="C212">
        <v>0.5</v>
      </c>
      <c r="D212">
        <v>3.6279889999999999</v>
      </c>
      <c r="E212">
        <v>0.54002499999999998</v>
      </c>
    </row>
    <row r="213" spans="1:5" x14ac:dyDescent="0.25">
      <c r="A213" t="s">
        <v>86</v>
      </c>
      <c r="B213">
        <v>4</v>
      </c>
      <c r="C213">
        <v>0.5</v>
      </c>
      <c r="D213">
        <v>3.977983</v>
      </c>
      <c r="E213">
        <v>0.50123799999999996</v>
      </c>
    </row>
    <row r="214" spans="1:5" x14ac:dyDescent="0.25">
      <c r="A214" t="s">
        <v>86</v>
      </c>
      <c r="B214">
        <v>4</v>
      </c>
      <c r="C214">
        <v>0.5</v>
      </c>
      <c r="D214">
        <v>4.2585839999999999</v>
      </c>
      <c r="E214">
        <v>0.47309200000000001</v>
      </c>
    </row>
    <row r="215" spans="1:5" x14ac:dyDescent="0.25">
      <c r="A215" t="s">
        <v>86</v>
      </c>
      <c r="B215">
        <v>4</v>
      </c>
      <c r="C215">
        <v>0.5</v>
      </c>
      <c r="D215">
        <v>4.4430870000000002</v>
      </c>
      <c r="E215">
        <v>0.45462200000000003</v>
      </c>
    </row>
    <row r="216" spans="1:5" x14ac:dyDescent="0.25">
      <c r="A216" t="s">
        <v>86</v>
      </c>
      <c r="B216">
        <v>4</v>
      </c>
      <c r="C216">
        <v>0.5</v>
      </c>
      <c r="D216">
        <v>4.6696340000000003</v>
      </c>
      <c r="E216">
        <v>0.43625199999999997</v>
      </c>
    </row>
    <row r="217" spans="1:5" x14ac:dyDescent="0.25">
      <c r="A217" t="s">
        <v>86</v>
      </c>
      <c r="B217">
        <v>4</v>
      </c>
      <c r="C217">
        <v>0.5</v>
      </c>
      <c r="D217">
        <v>4.9344999999999999</v>
      </c>
      <c r="E217">
        <v>0.41617199999999999</v>
      </c>
    </row>
    <row r="218" spans="1:5" x14ac:dyDescent="0.25">
      <c r="A218" t="s">
        <v>86</v>
      </c>
      <c r="B218">
        <v>4</v>
      </c>
      <c r="C218">
        <v>0.5</v>
      </c>
      <c r="D218">
        <v>5.157076</v>
      </c>
      <c r="E218">
        <v>0.40049400000000002</v>
      </c>
    </row>
    <row r="219" spans="1:5" x14ac:dyDescent="0.25">
      <c r="A219" t="s">
        <v>86</v>
      </c>
      <c r="B219">
        <v>4</v>
      </c>
      <c r="C219">
        <v>0.5</v>
      </c>
      <c r="D219">
        <v>5.47173</v>
      </c>
      <c r="E219">
        <v>0.37873099999999998</v>
      </c>
    </row>
    <row r="220" spans="1:5" x14ac:dyDescent="0.25">
      <c r="A220" t="s">
        <v>86</v>
      </c>
      <c r="B220">
        <v>4</v>
      </c>
      <c r="C220">
        <v>0.5</v>
      </c>
      <c r="D220">
        <v>5.7860360000000002</v>
      </c>
      <c r="E220">
        <v>0.36327100000000001</v>
      </c>
    </row>
    <row r="221" spans="1:5" x14ac:dyDescent="0.25">
      <c r="A221" t="s">
        <v>86</v>
      </c>
      <c r="B221">
        <v>4</v>
      </c>
      <c r="C221">
        <v>0.5</v>
      </c>
      <c r="D221">
        <v>5.9317729999999997</v>
      </c>
      <c r="E221">
        <v>0.35461300000000001</v>
      </c>
    </row>
    <row r="222" spans="1:5" x14ac:dyDescent="0.25">
      <c r="A222" t="s">
        <v>86</v>
      </c>
      <c r="B222">
        <v>4</v>
      </c>
      <c r="C222">
        <v>1</v>
      </c>
      <c r="D222">
        <v>0.49981300000000001</v>
      </c>
      <c r="E222">
        <v>0.961974</v>
      </c>
    </row>
    <row r="223" spans="1:5" x14ac:dyDescent="0.25">
      <c r="A223" t="s">
        <v>86</v>
      </c>
      <c r="B223">
        <v>4</v>
      </c>
      <c r="C223">
        <v>1</v>
      </c>
      <c r="D223">
        <v>0.687504</v>
      </c>
      <c r="E223">
        <v>0.92802899999999999</v>
      </c>
    </row>
    <row r="224" spans="1:5" x14ac:dyDescent="0.25">
      <c r="A224" t="s">
        <v>86</v>
      </c>
      <c r="B224">
        <v>4</v>
      </c>
      <c r="C224">
        <v>1</v>
      </c>
      <c r="D224">
        <v>0.84623999999999999</v>
      </c>
      <c r="E224">
        <v>0.89766299999999999</v>
      </c>
    </row>
    <row r="225" spans="1:5" x14ac:dyDescent="0.25">
      <c r="A225" t="s">
        <v>86</v>
      </c>
      <c r="B225">
        <v>4</v>
      </c>
      <c r="C225">
        <v>1</v>
      </c>
      <c r="D225">
        <v>1.011611</v>
      </c>
      <c r="E225">
        <v>0.867313</v>
      </c>
    </row>
    <row r="226" spans="1:5" x14ac:dyDescent="0.25">
      <c r="A226" t="s">
        <v>86</v>
      </c>
      <c r="B226">
        <v>4</v>
      </c>
      <c r="C226">
        <v>1</v>
      </c>
      <c r="D226">
        <v>1.2106189999999999</v>
      </c>
      <c r="E226">
        <v>0.82870500000000002</v>
      </c>
    </row>
    <row r="227" spans="1:5" x14ac:dyDescent="0.25">
      <c r="A227" t="s">
        <v>86</v>
      </c>
      <c r="B227">
        <v>4</v>
      </c>
      <c r="C227">
        <v>1</v>
      </c>
      <c r="D227">
        <v>1.456507</v>
      </c>
      <c r="E227">
        <v>0.78239300000000001</v>
      </c>
    </row>
    <row r="228" spans="1:5" x14ac:dyDescent="0.25">
      <c r="A228" t="s">
        <v>86</v>
      </c>
      <c r="B228">
        <v>4</v>
      </c>
      <c r="C228">
        <v>1</v>
      </c>
      <c r="D228">
        <v>1.6644779999999999</v>
      </c>
      <c r="E228">
        <v>0.74172300000000002</v>
      </c>
    </row>
    <row r="229" spans="1:5" x14ac:dyDescent="0.25">
      <c r="A229" t="s">
        <v>86</v>
      </c>
      <c r="B229">
        <v>4</v>
      </c>
      <c r="C229">
        <v>1</v>
      </c>
      <c r="D229">
        <v>1.854266</v>
      </c>
      <c r="E229">
        <v>0.70986800000000005</v>
      </c>
    </row>
    <row r="230" spans="1:5" x14ac:dyDescent="0.25">
      <c r="A230" t="s">
        <v>86</v>
      </c>
      <c r="B230">
        <v>4</v>
      </c>
      <c r="C230">
        <v>1</v>
      </c>
      <c r="D230">
        <v>2.0687859999999998</v>
      </c>
      <c r="E230">
        <v>0.67077600000000004</v>
      </c>
    </row>
    <row r="231" spans="1:5" x14ac:dyDescent="0.25">
      <c r="A231" t="s">
        <v>86</v>
      </c>
      <c r="B231">
        <v>4</v>
      </c>
      <c r="C231">
        <v>1</v>
      </c>
      <c r="D231">
        <v>2.26294</v>
      </c>
      <c r="E231">
        <v>0.63997300000000001</v>
      </c>
    </row>
    <row r="232" spans="1:5" x14ac:dyDescent="0.25">
      <c r="A232" t="s">
        <v>86</v>
      </c>
      <c r="B232">
        <v>4</v>
      </c>
      <c r="C232">
        <v>1</v>
      </c>
      <c r="D232">
        <v>2.4725489999999999</v>
      </c>
      <c r="E232">
        <v>0.60972800000000005</v>
      </c>
    </row>
    <row r="233" spans="1:5" x14ac:dyDescent="0.25">
      <c r="A233" t="s">
        <v>86</v>
      </c>
      <c r="B233">
        <v>4</v>
      </c>
      <c r="C233">
        <v>1</v>
      </c>
      <c r="D233">
        <v>2.7110270000000001</v>
      </c>
      <c r="E233">
        <v>0.57746699999999995</v>
      </c>
    </row>
    <row r="234" spans="1:5" x14ac:dyDescent="0.25">
      <c r="A234" t="s">
        <v>86</v>
      </c>
      <c r="B234">
        <v>4</v>
      </c>
      <c r="C234">
        <v>1</v>
      </c>
      <c r="D234">
        <v>2.9583810000000001</v>
      </c>
      <c r="E234">
        <v>0.54470700000000005</v>
      </c>
    </row>
    <row r="235" spans="1:5" x14ac:dyDescent="0.25">
      <c r="A235" t="s">
        <v>86</v>
      </c>
      <c r="B235">
        <v>4</v>
      </c>
      <c r="C235">
        <v>1</v>
      </c>
      <c r="D235">
        <v>3.1810890000000001</v>
      </c>
      <c r="E235">
        <v>0.51761900000000005</v>
      </c>
    </row>
    <row r="236" spans="1:5" x14ac:dyDescent="0.25">
      <c r="A236" t="s">
        <v>86</v>
      </c>
      <c r="B236">
        <v>4</v>
      </c>
      <c r="C236">
        <v>1</v>
      </c>
      <c r="D236">
        <v>3.4771909999999999</v>
      </c>
      <c r="E236">
        <v>0.48341099999999998</v>
      </c>
    </row>
    <row r="237" spans="1:5" x14ac:dyDescent="0.25">
      <c r="A237" t="s">
        <v>86</v>
      </c>
      <c r="B237">
        <v>4</v>
      </c>
      <c r="C237">
        <v>1</v>
      </c>
      <c r="D237">
        <v>3.8286180000000001</v>
      </c>
      <c r="E237">
        <v>0.44881399999999999</v>
      </c>
    </row>
    <row r="238" spans="1:5" x14ac:dyDescent="0.25">
      <c r="A238" t="s">
        <v>86</v>
      </c>
      <c r="B238">
        <v>4</v>
      </c>
      <c r="C238">
        <v>1</v>
      </c>
      <c r="D238">
        <v>4.0643969999999996</v>
      </c>
      <c r="E238">
        <v>0.42540499999999998</v>
      </c>
    </row>
    <row r="239" spans="1:5" x14ac:dyDescent="0.25">
      <c r="A239" t="s">
        <v>86</v>
      </c>
      <c r="B239">
        <v>4</v>
      </c>
      <c r="C239">
        <v>1</v>
      </c>
      <c r="D239">
        <v>4.3666749999999999</v>
      </c>
      <c r="E239">
        <v>0.39954899999999999</v>
      </c>
    </row>
    <row r="240" spans="1:5" x14ac:dyDescent="0.25">
      <c r="A240" t="s">
        <v>86</v>
      </c>
      <c r="B240">
        <v>4</v>
      </c>
      <c r="C240">
        <v>1</v>
      </c>
      <c r="D240">
        <v>4.6732060000000004</v>
      </c>
      <c r="E240">
        <v>0.37682900000000003</v>
      </c>
    </row>
    <row r="241" spans="1:5" x14ac:dyDescent="0.25">
      <c r="A241" t="s">
        <v>86</v>
      </c>
      <c r="B241">
        <v>4</v>
      </c>
      <c r="C241">
        <v>1</v>
      </c>
      <c r="D241">
        <v>4.9818899999999999</v>
      </c>
      <c r="E241">
        <v>0.355157</v>
      </c>
    </row>
    <row r="242" spans="1:5" x14ac:dyDescent="0.25">
      <c r="A242" t="s">
        <v>86</v>
      </c>
      <c r="B242">
        <v>4</v>
      </c>
      <c r="C242">
        <v>1</v>
      </c>
      <c r="D242">
        <v>5.3126360000000004</v>
      </c>
      <c r="E242">
        <v>0.33457900000000002</v>
      </c>
    </row>
    <row r="243" spans="1:5" x14ac:dyDescent="0.25">
      <c r="A243" t="s">
        <v>86</v>
      </c>
      <c r="B243">
        <v>4</v>
      </c>
      <c r="C243">
        <v>1</v>
      </c>
      <c r="D243">
        <v>5.6054360000000001</v>
      </c>
      <c r="E243">
        <v>0.320164</v>
      </c>
    </row>
    <row r="244" spans="1:5" x14ac:dyDescent="0.25">
      <c r="A244" t="s">
        <v>86</v>
      </c>
      <c r="B244">
        <v>4</v>
      </c>
      <c r="C244">
        <v>1</v>
      </c>
      <c r="D244">
        <v>5.8626449999999997</v>
      </c>
      <c r="E244">
        <v>0.309311</v>
      </c>
    </row>
    <row r="245" spans="1:5" x14ac:dyDescent="0.25">
      <c r="A245" t="s">
        <v>86</v>
      </c>
      <c r="B245">
        <v>4</v>
      </c>
      <c r="C245">
        <v>1</v>
      </c>
      <c r="D245">
        <v>5.9712569999999996</v>
      </c>
      <c r="E245">
        <v>0.30540099999999998</v>
      </c>
    </row>
    <row r="246" spans="1:5" x14ac:dyDescent="0.25">
      <c r="A246" t="s">
        <v>86</v>
      </c>
      <c r="B246">
        <v>4</v>
      </c>
      <c r="C246">
        <v>1.5</v>
      </c>
      <c r="D246">
        <v>0.50406499999999999</v>
      </c>
      <c r="E246">
        <v>0.64360799999999996</v>
      </c>
    </row>
    <row r="247" spans="1:5" x14ac:dyDescent="0.25">
      <c r="A247" t="s">
        <v>86</v>
      </c>
      <c r="B247">
        <v>4</v>
      </c>
      <c r="C247">
        <v>1.5</v>
      </c>
      <c r="D247">
        <v>0.64438899999999999</v>
      </c>
      <c r="E247">
        <v>0.62622500000000003</v>
      </c>
    </row>
    <row r="248" spans="1:5" x14ac:dyDescent="0.25">
      <c r="A248" t="s">
        <v>86</v>
      </c>
      <c r="B248">
        <v>4</v>
      </c>
      <c r="C248">
        <v>1.5</v>
      </c>
      <c r="D248">
        <v>0.85141299999999998</v>
      </c>
      <c r="E248">
        <v>0.60274799999999995</v>
      </c>
    </row>
    <row r="249" spans="1:5" x14ac:dyDescent="0.25">
      <c r="A249" t="s">
        <v>86</v>
      </c>
      <c r="B249">
        <v>4</v>
      </c>
      <c r="C249">
        <v>1.5</v>
      </c>
      <c r="D249">
        <v>1.0408280000000001</v>
      </c>
      <c r="E249">
        <v>0.57766600000000001</v>
      </c>
    </row>
    <row r="250" spans="1:5" x14ac:dyDescent="0.25">
      <c r="A250" t="s">
        <v>86</v>
      </c>
      <c r="B250">
        <v>4</v>
      </c>
      <c r="C250">
        <v>1.5</v>
      </c>
      <c r="D250">
        <v>1.2703150000000001</v>
      </c>
      <c r="E250">
        <v>0.54798899999999995</v>
      </c>
    </row>
    <row r="251" spans="1:5" x14ac:dyDescent="0.25">
      <c r="A251" t="s">
        <v>86</v>
      </c>
      <c r="B251">
        <v>4</v>
      </c>
      <c r="C251">
        <v>1.5</v>
      </c>
      <c r="D251">
        <v>1.5265169999999999</v>
      </c>
      <c r="E251">
        <v>0.51524899999999996</v>
      </c>
    </row>
    <row r="252" spans="1:5" x14ac:dyDescent="0.25">
      <c r="A252" t="s">
        <v>86</v>
      </c>
      <c r="B252">
        <v>4</v>
      </c>
      <c r="C252">
        <v>1.5</v>
      </c>
      <c r="D252">
        <v>1.796076</v>
      </c>
      <c r="E252">
        <v>0.48097800000000002</v>
      </c>
    </row>
    <row r="253" spans="1:5" x14ac:dyDescent="0.25">
      <c r="A253" t="s">
        <v>86</v>
      </c>
      <c r="B253">
        <v>4</v>
      </c>
      <c r="C253">
        <v>1.5</v>
      </c>
      <c r="D253">
        <v>1.998705</v>
      </c>
      <c r="E253">
        <v>0.45696900000000001</v>
      </c>
    </row>
    <row r="254" spans="1:5" x14ac:dyDescent="0.25">
      <c r="A254" t="s">
        <v>86</v>
      </c>
      <c r="B254">
        <v>4</v>
      </c>
      <c r="C254">
        <v>1.5</v>
      </c>
      <c r="D254">
        <v>2.2391369999999999</v>
      </c>
      <c r="E254">
        <v>0.42940299999999998</v>
      </c>
    </row>
    <row r="255" spans="1:5" x14ac:dyDescent="0.25">
      <c r="A255" t="s">
        <v>86</v>
      </c>
      <c r="B255">
        <v>4</v>
      </c>
      <c r="C255">
        <v>1.5</v>
      </c>
      <c r="D255">
        <v>2.4326889999999999</v>
      </c>
      <c r="E255">
        <v>0.40954099999999999</v>
      </c>
    </row>
    <row r="256" spans="1:5" x14ac:dyDescent="0.25">
      <c r="A256" t="s">
        <v>86</v>
      </c>
      <c r="B256">
        <v>4</v>
      </c>
      <c r="C256">
        <v>1.5</v>
      </c>
      <c r="D256">
        <v>2.686134</v>
      </c>
      <c r="E256">
        <v>0.38669500000000001</v>
      </c>
    </row>
    <row r="257" spans="1:5" x14ac:dyDescent="0.25">
      <c r="A257" t="s">
        <v>86</v>
      </c>
      <c r="B257">
        <v>4</v>
      </c>
      <c r="C257">
        <v>1.5</v>
      </c>
      <c r="D257">
        <v>2.9239519999999999</v>
      </c>
      <c r="E257">
        <v>0.36641800000000002</v>
      </c>
    </row>
    <row r="258" spans="1:5" x14ac:dyDescent="0.25">
      <c r="A258" t="s">
        <v>86</v>
      </c>
      <c r="B258">
        <v>4</v>
      </c>
      <c r="C258">
        <v>1.5</v>
      </c>
      <c r="D258">
        <v>3.2060940000000002</v>
      </c>
      <c r="E258">
        <v>0.34468199999999999</v>
      </c>
    </row>
    <row r="259" spans="1:5" x14ac:dyDescent="0.25">
      <c r="A259" t="s">
        <v>86</v>
      </c>
      <c r="B259">
        <v>4</v>
      </c>
      <c r="C259">
        <v>1.5</v>
      </c>
      <c r="D259">
        <v>3.5371839999999999</v>
      </c>
      <c r="E259">
        <v>0.317853</v>
      </c>
    </row>
    <row r="260" spans="1:5" x14ac:dyDescent="0.25">
      <c r="A260" t="s">
        <v>86</v>
      </c>
      <c r="B260">
        <v>4</v>
      </c>
      <c r="C260">
        <v>1.5</v>
      </c>
      <c r="D260">
        <v>3.936728</v>
      </c>
      <c r="E260">
        <v>0.29326999999999998</v>
      </c>
    </row>
    <row r="261" spans="1:5" x14ac:dyDescent="0.25">
      <c r="A261" t="s">
        <v>86</v>
      </c>
      <c r="B261">
        <v>4</v>
      </c>
      <c r="C261">
        <v>1.5</v>
      </c>
      <c r="D261">
        <v>4.2896789999999996</v>
      </c>
      <c r="E261">
        <v>0.27118199999999998</v>
      </c>
    </row>
    <row r="262" spans="1:5" x14ac:dyDescent="0.25">
      <c r="A262" t="s">
        <v>86</v>
      </c>
      <c r="B262">
        <v>4</v>
      </c>
      <c r="C262">
        <v>1.5</v>
      </c>
      <c r="D262">
        <v>4.5981629999999996</v>
      </c>
      <c r="E262">
        <v>0.25315599999999999</v>
      </c>
    </row>
    <row r="263" spans="1:5" x14ac:dyDescent="0.25">
      <c r="A263" t="s">
        <v>86</v>
      </c>
      <c r="B263">
        <v>4</v>
      </c>
      <c r="C263">
        <v>1.5</v>
      </c>
      <c r="D263">
        <v>4.8909339999999997</v>
      </c>
      <c r="E263">
        <v>0.239262</v>
      </c>
    </row>
    <row r="264" spans="1:5" x14ac:dyDescent="0.25">
      <c r="A264" t="s">
        <v>86</v>
      </c>
      <c r="B264">
        <v>4</v>
      </c>
      <c r="C264">
        <v>1.5</v>
      </c>
      <c r="D264">
        <v>5.1902549999999996</v>
      </c>
      <c r="E264">
        <v>0.22694700000000001</v>
      </c>
    </row>
    <row r="265" spans="1:5" x14ac:dyDescent="0.25">
      <c r="A265" t="s">
        <v>86</v>
      </c>
      <c r="B265">
        <v>4</v>
      </c>
      <c r="C265">
        <v>1.5</v>
      </c>
      <c r="D265">
        <v>5.4982800000000003</v>
      </c>
      <c r="E265">
        <v>0.21725800000000001</v>
      </c>
    </row>
    <row r="266" spans="1:5" x14ac:dyDescent="0.25">
      <c r="A266" t="s">
        <v>86</v>
      </c>
      <c r="B266">
        <v>4</v>
      </c>
      <c r="C266">
        <v>1.5</v>
      </c>
      <c r="D266">
        <v>5.8062480000000001</v>
      </c>
      <c r="E266">
        <v>0.20860999999999999</v>
      </c>
    </row>
    <row r="267" spans="1:5" x14ac:dyDescent="0.25">
      <c r="A267" t="s">
        <v>86</v>
      </c>
      <c r="B267">
        <v>4</v>
      </c>
      <c r="C267">
        <v>1.5</v>
      </c>
      <c r="D267">
        <v>5.9459400000000002</v>
      </c>
      <c r="E267">
        <v>0.20268900000000001</v>
      </c>
    </row>
    <row r="268" spans="1:5" x14ac:dyDescent="0.25">
      <c r="A268" t="s">
        <v>86</v>
      </c>
      <c r="B268">
        <v>4</v>
      </c>
      <c r="C268">
        <v>2</v>
      </c>
      <c r="D268">
        <v>0.48638399999999998</v>
      </c>
      <c r="E268">
        <v>0.48255500000000001</v>
      </c>
    </row>
    <row r="269" spans="1:5" x14ac:dyDescent="0.25">
      <c r="A269" t="s">
        <v>86</v>
      </c>
      <c r="B269">
        <v>4</v>
      </c>
      <c r="C269">
        <v>2</v>
      </c>
      <c r="D269">
        <v>0.644173</v>
      </c>
      <c r="E269">
        <v>0.46938200000000002</v>
      </c>
    </row>
    <row r="270" spans="1:5" x14ac:dyDescent="0.25">
      <c r="A270" t="s">
        <v>86</v>
      </c>
      <c r="B270">
        <v>4</v>
      </c>
      <c r="C270">
        <v>2</v>
      </c>
      <c r="D270">
        <v>0.79756800000000005</v>
      </c>
      <c r="E270">
        <v>0.455677</v>
      </c>
    </row>
    <row r="271" spans="1:5" x14ac:dyDescent="0.25">
      <c r="A271" t="s">
        <v>86</v>
      </c>
      <c r="B271">
        <v>4</v>
      </c>
      <c r="C271">
        <v>2</v>
      </c>
      <c r="D271">
        <v>1.079968</v>
      </c>
      <c r="E271">
        <v>0.429253</v>
      </c>
    </row>
    <row r="272" spans="1:5" x14ac:dyDescent="0.25">
      <c r="A272" t="s">
        <v>86</v>
      </c>
      <c r="B272">
        <v>4</v>
      </c>
      <c r="C272">
        <v>2</v>
      </c>
      <c r="D272">
        <v>1.3646370000000001</v>
      </c>
      <c r="E272">
        <v>0.40179199999999998</v>
      </c>
    </row>
    <row r="273" spans="1:5" x14ac:dyDescent="0.25">
      <c r="A273" t="s">
        <v>86</v>
      </c>
      <c r="B273">
        <v>4</v>
      </c>
      <c r="C273">
        <v>2</v>
      </c>
      <c r="D273">
        <v>1.604868</v>
      </c>
      <c r="E273">
        <v>0.37787199999999999</v>
      </c>
    </row>
    <row r="274" spans="1:5" x14ac:dyDescent="0.25">
      <c r="A274" t="s">
        <v>86</v>
      </c>
      <c r="B274">
        <v>4</v>
      </c>
      <c r="C274">
        <v>2</v>
      </c>
      <c r="D274">
        <v>1.844927</v>
      </c>
      <c r="E274">
        <v>0.35707899999999998</v>
      </c>
    </row>
    <row r="275" spans="1:5" x14ac:dyDescent="0.25">
      <c r="A275" t="s">
        <v>86</v>
      </c>
      <c r="B275">
        <v>4</v>
      </c>
      <c r="C275">
        <v>2</v>
      </c>
      <c r="D275">
        <v>2.1272700000000002</v>
      </c>
      <c r="E275">
        <v>0.33169599999999999</v>
      </c>
    </row>
    <row r="276" spans="1:5" x14ac:dyDescent="0.25">
      <c r="A276" t="s">
        <v>86</v>
      </c>
      <c r="B276">
        <v>4</v>
      </c>
      <c r="C276">
        <v>2</v>
      </c>
      <c r="D276">
        <v>2.3449810000000002</v>
      </c>
      <c r="E276">
        <v>0.31501899999999999</v>
      </c>
    </row>
    <row r="277" spans="1:5" x14ac:dyDescent="0.25">
      <c r="A277" t="s">
        <v>86</v>
      </c>
      <c r="B277">
        <v>4</v>
      </c>
      <c r="C277">
        <v>2</v>
      </c>
      <c r="D277">
        <v>2.5627200000000001</v>
      </c>
      <c r="E277">
        <v>0.29781999999999997</v>
      </c>
    </row>
    <row r="278" spans="1:5" x14ac:dyDescent="0.25">
      <c r="A278" t="s">
        <v>86</v>
      </c>
      <c r="B278">
        <v>4</v>
      </c>
      <c r="C278">
        <v>2</v>
      </c>
      <c r="D278">
        <v>2.791404</v>
      </c>
      <c r="E278">
        <v>0.28273100000000001</v>
      </c>
    </row>
    <row r="279" spans="1:5" x14ac:dyDescent="0.25">
      <c r="A279" t="s">
        <v>86</v>
      </c>
      <c r="B279">
        <v>4</v>
      </c>
      <c r="C279">
        <v>2</v>
      </c>
      <c r="D279">
        <v>3.0599880000000002</v>
      </c>
      <c r="E279">
        <v>0.26617400000000002</v>
      </c>
    </row>
    <row r="280" spans="1:5" x14ac:dyDescent="0.25">
      <c r="A280" t="s">
        <v>86</v>
      </c>
      <c r="B280">
        <v>4</v>
      </c>
      <c r="C280">
        <v>2</v>
      </c>
      <c r="D280">
        <v>3.4217580000000001</v>
      </c>
      <c r="E280">
        <v>0.24462800000000001</v>
      </c>
    </row>
    <row r="281" spans="1:5" x14ac:dyDescent="0.25">
      <c r="A281" t="s">
        <v>86</v>
      </c>
      <c r="B281">
        <v>4</v>
      </c>
      <c r="C281">
        <v>2</v>
      </c>
      <c r="D281">
        <v>3.6947079999999999</v>
      </c>
      <c r="E281">
        <v>0.22912399999999999</v>
      </c>
    </row>
    <row r="282" spans="1:5" x14ac:dyDescent="0.25">
      <c r="A282" t="s">
        <v>86</v>
      </c>
      <c r="B282">
        <v>4</v>
      </c>
      <c r="C282">
        <v>2</v>
      </c>
      <c r="D282">
        <v>4.0073290000000004</v>
      </c>
      <c r="E282">
        <v>0.21631900000000001</v>
      </c>
    </row>
    <row r="283" spans="1:5" x14ac:dyDescent="0.25">
      <c r="A283" t="s">
        <v>86</v>
      </c>
      <c r="B283">
        <v>4</v>
      </c>
      <c r="C283">
        <v>2</v>
      </c>
      <c r="D283">
        <v>4.3245459999999998</v>
      </c>
      <c r="E283">
        <v>0.20039799999999999</v>
      </c>
    </row>
    <row r="284" spans="1:5" x14ac:dyDescent="0.25">
      <c r="A284" t="s">
        <v>86</v>
      </c>
      <c r="B284">
        <v>4</v>
      </c>
      <c r="C284">
        <v>2</v>
      </c>
      <c r="D284">
        <v>4.6083550000000004</v>
      </c>
      <c r="E284">
        <v>0.18856700000000001</v>
      </c>
    </row>
    <row r="285" spans="1:5" x14ac:dyDescent="0.25">
      <c r="A285" t="s">
        <v>86</v>
      </c>
      <c r="B285">
        <v>4</v>
      </c>
      <c r="C285">
        <v>2</v>
      </c>
      <c r="D285">
        <v>4.9407959999999997</v>
      </c>
      <c r="E285">
        <v>0.177373</v>
      </c>
    </row>
    <row r="286" spans="1:5" x14ac:dyDescent="0.25">
      <c r="A286" t="s">
        <v>86</v>
      </c>
      <c r="B286">
        <v>4</v>
      </c>
      <c r="C286">
        <v>2</v>
      </c>
      <c r="D286">
        <v>5.2510329999999996</v>
      </c>
      <c r="E286">
        <v>0.167689</v>
      </c>
    </row>
    <row r="287" spans="1:5" x14ac:dyDescent="0.25">
      <c r="A287" t="s">
        <v>86</v>
      </c>
      <c r="B287">
        <v>4</v>
      </c>
      <c r="C287">
        <v>2</v>
      </c>
      <c r="D287">
        <v>5.5988150000000001</v>
      </c>
      <c r="E287">
        <v>0.159136</v>
      </c>
    </row>
    <row r="288" spans="1:5" x14ac:dyDescent="0.25">
      <c r="A288" t="s">
        <v>86</v>
      </c>
      <c r="B288">
        <v>4</v>
      </c>
      <c r="C288">
        <v>2</v>
      </c>
      <c r="D288">
        <v>5.8268969999999998</v>
      </c>
      <c r="E288">
        <v>0.15498899999999999</v>
      </c>
    </row>
    <row r="289" spans="1:5" x14ac:dyDescent="0.25">
      <c r="A289" t="s">
        <v>86</v>
      </c>
      <c r="B289">
        <v>4</v>
      </c>
      <c r="C289">
        <v>2</v>
      </c>
      <c r="D289">
        <v>5.968572</v>
      </c>
      <c r="E289">
        <v>0.15324099999999999</v>
      </c>
    </row>
    <row r="290" spans="1:5" x14ac:dyDescent="0.25">
      <c r="A290" t="s">
        <v>87</v>
      </c>
      <c r="B290">
        <v>1</v>
      </c>
      <c r="C290">
        <v>0.5</v>
      </c>
      <c r="D290">
        <v>0.50243700000000002</v>
      </c>
      <c r="E290">
        <v>1.37772E-3</v>
      </c>
    </row>
    <row r="291" spans="1:5" x14ac:dyDescent="0.25">
      <c r="A291" t="s">
        <v>87</v>
      </c>
      <c r="B291">
        <v>1</v>
      </c>
      <c r="C291">
        <v>0.5</v>
      </c>
      <c r="D291">
        <v>0.51179300000000005</v>
      </c>
      <c r="E291">
        <v>2.03323E-3</v>
      </c>
    </row>
    <row r="292" spans="1:5" x14ac:dyDescent="0.25">
      <c r="A292" t="s">
        <v>87</v>
      </c>
      <c r="B292">
        <v>1</v>
      </c>
      <c r="C292">
        <v>0.5</v>
      </c>
      <c r="D292">
        <v>0.53186299999999997</v>
      </c>
      <c r="E292">
        <v>3.0011600000000001E-3</v>
      </c>
    </row>
    <row r="293" spans="1:5" x14ac:dyDescent="0.25">
      <c r="A293" t="s">
        <v>87</v>
      </c>
      <c r="B293">
        <v>1</v>
      </c>
      <c r="C293">
        <v>0.5</v>
      </c>
      <c r="D293">
        <v>0.58397900000000003</v>
      </c>
      <c r="E293">
        <v>4.5541899999999996E-3</v>
      </c>
    </row>
    <row r="294" spans="1:5" x14ac:dyDescent="0.25">
      <c r="A294" t="s">
        <v>87</v>
      </c>
      <c r="B294">
        <v>1</v>
      </c>
      <c r="C294">
        <v>0.5</v>
      </c>
      <c r="D294">
        <v>0.64699799999999996</v>
      </c>
      <c r="E294">
        <v>6.5469100000000004E-3</v>
      </c>
    </row>
    <row r="295" spans="1:5" x14ac:dyDescent="0.25">
      <c r="A295" t="s">
        <v>87</v>
      </c>
      <c r="B295">
        <v>1</v>
      </c>
      <c r="C295">
        <v>0.5</v>
      </c>
      <c r="D295">
        <v>0.73680100000000004</v>
      </c>
      <c r="E295">
        <v>9.4157400000000006E-3</v>
      </c>
    </row>
    <row r="296" spans="1:5" x14ac:dyDescent="0.25">
      <c r="A296" t="s">
        <v>87</v>
      </c>
      <c r="B296">
        <v>1</v>
      </c>
      <c r="C296">
        <v>0.5</v>
      </c>
      <c r="D296">
        <v>0.91174599999999995</v>
      </c>
      <c r="E296">
        <v>1.5959250000000001E-2</v>
      </c>
    </row>
    <row r="297" spans="1:5" x14ac:dyDescent="0.25">
      <c r="A297" t="s">
        <v>87</v>
      </c>
      <c r="B297">
        <v>1</v>
      </c>
      <c r="C297">
        <v>0.5</v>
      </c>
      <c r="D297">
        <v>1.0499499999999999</v>
      </c>
      <c r="E297">
        <v>2.1757209999999999E-2</v>
      </c>
    </row>
    <row r="298" spans="1:5" x14ac:dyDescent="0.25">
      <c r="A298" t="s">
        <v>87</v>
      </c>
      <c r="B298">
        <v>1</v>
      </c>
      <c r="C298">
        <v>0.5</v>
      </c>
      <c r="D298">
        <v>1.215128</v>
      </c>
      <c r="E298">
        <v>2.8106889999999999E-2</v>
      </c>
    </row>
    <row r="299" spans="1:5" x14ac:dyDescent="0.25">
      <c r="A299" t="s">
        <v>87</v>
      </c>
      <c r="B299">
        <v>1</v>
      </c>
      <c r="C299">
        <v>0.5</v>
      </c>
      <c r="D299">
        <v>1.407089</v>
      </c>
      <c r="E299">
        <v>3.632581E-2</v>
      </c>
    </row>
    <row r="300" spans="1:5" x14ac:dyDescent="0.25">
      <c r="A300" t="s">
        <v>87</v>
      </c>
      <c r="B300">
        <v>1</v>
      </c>
      <c r="C300">
        <v>0.5</v>
      </c>
      <c r="D300">
        <v>1.6045659999999999</v>
      </c>
      <c r="E300">
        <v>4.4875680000000001E-2</v>
      </c>
    </row>
    <row r="301" spans="1:5" x14ac:dyDescent="0.25">
      <c r="A301" t="s">
        <v>87</v>
      </c>
      <c r="B301">
        <v>1</v>
      </c>
      <c r="C301">
        <v>0.5</v>
      </c>
      <c r="D301">
        <v>1.818208</v>
      </c>
      <c r="E301">
        <v>5.3967899999999999E-2</v>
      </c>
    </row>
    <row r="302" spans="1:5" x14ac:dyDescent="0.25">
      <c r="A302" t="s">
        <v>87</v>
      </c>
      <c r="B302">
        <v>1</v>
      </c>
      <c r="C302">
        <v>0.5</v>
      </c>
      <c r="D302">
        <v>2.3850530000000001</v>
      </c>
      <c r="E302">
        <v>7.211513E-2</v>
      </c>
    </row>
    <row r="303" spans="1:5" x14ac:dyDescent="0.25">
      <c r="A303" t="s">
        <v>87</v>
      </c>
      <c r="B303">
        <v>1</v>
      </c>
      <c r="C303">
        <v>0.5</v>
      </c>
      <c r="D303">
        <v>2.749066</v>
      </c>
      <c r="E303">
        <v>7.7997880000000006E-2</v>
      </c>
    </row>
    <row r="304" spans="1:5" x14ac:dyDescent="0.25">
      <c r="A304" t="s">
        <v>87</v>
      </c>
      <c r="B304">
        <v>1</v>
      </c>
      <c r="C304">
        <v>0.5</v>
      </c>
      <c r="D304">
        <v>3.113235</v>
      </c>
      <c r="E304">
        <v>8.0629500000000007E-2</v>
      </c>
    </row>
    <row r="305" spans="1:5" x14ac:dyDescent="0.25">
      <c r="A305" t="s">
        <v>87</v>
      </c>
      <c r="B305">
        <v>1</v>
      </c>
      <c r="C305">
        <v>0.5</v>
      </c>
      <c r="D305">
        <v>3.3864339999999999</v>
      </c>
      <c r="E305">
        <v>8.0995709999999999E-2</v>
      </c>
    </row>
    <row r="306" spans="1:5" x14ac:dyDescent="0.25">
      <c r="A306" t="s">
        <v>87</v>
      </c>
      <c r="B306">
        <v>1</v>
      </c>
      <c r="C306">
        <v>0.5</v>
      </c>
      <c r="D306">
        <v>3.70255</v>
      </c>
      <c r="E306">
        <v>7.9961450000000003E-2</v>
      </c>
    </row>
    <row r="307" spans="1:5" x14ac:dyDescent="0.25">
      <c r="A307" t="s">
        <v>87</v>
      </c>
      <c r="B307">
        <v>1</v>
      </c>
      <c r="C307">
        <v>0.5</v>
      </c>
      <c r="D307">
        <v>4.1043130000000003</v>
      </c>
      <c r="E307">
        <v>8.0496100000000001E-2</v>
      </c>
    </row>
    <row r="308" spans="1:5" x14ac:dyDescent="0.25">
      <c r="A308" t="s">
        <v>87</v>
      </c>
      <c r="B308">
        <v>1</v>
      </c>
      <c r="C308">
        <v>0.5</v>
      </c>
      <c r="D308">
        <v>4.4525379999999997</v>
      </c>
      <c r="E308">
        <v>8.0233189999999996E-2</v>
      </c>
    </row>
    <row r="309" spans="1:5" x14ac:dyDescent="0.25">
      <c r="A309" t="s">
        <v>87</v>
      </c>
      <c r="B309">
        <v>1</v>
      </c>
      <c r="C309">
        <v>0.5</v>
      </c>
      <c r="D309">
        <v>4.8435560000000004</v>
      </c>
      <c r="E309">
        <v>8.1489199999999998E-2</v>
      </c>
    </row>
    <row r="310" spans="1:5" x14ac:dyDescent="0.25">
      <c r="A310" t="s">
        <v>87</v>
      </c>
      <c r="B310">
        <v>1</v>
      </c>
      <c r="C310">
        <v>0.5</v>
      </c>
      <c r="D310">
        <v>5.1703219999999996</v>
      </c>
      <c r="E310">
        <v>8.1932080000000004E-2</v>
      </c>
    </row>
    <row r="311" spans="1:5" x14ac:dyDescent="0.25">
      <c r="A311" t="s">
        <v>87</v>
      </c>
      <c r="B311">
        <v>1</v>
      </c>
      <c r="C311">
        <v>0.5</v>
      </c>
      <c r="D311">
        <v>5.513128</v>
      </c>
      <c r="E311">
        <v>8.3148180000000002E-2</v>
      </c>
    </row>
    <row r="312" spans="1:5" x14ac:dyDescent="0.25">
      <c r="A312" t="s">
        <v>87</v>
      </c>
      <c r="B312">
        <v>1</v>
      </c>
      <c r="C312">
        <v>0.5</v>
      </c>
      <c r="D312">
        <v>5.8452830000000002</v>
      </c>
      <c r="E312">
        <v>8.2854520000000001E-2</v>
      </c>
    </row>
    <row r="313" spans="1:5" x14ac:dyDescent="0.25">
      <c r="A313" t="s">
        <v>87</v>
      </c>
      <c r="B313">
        <v>1</v>
      </c>
      <c r="C313">
        <v>1</v>
      </c>
      <c r="D313">
        <v>0.50801499999999999</v>
      </c>
      <c r="E313">
        <v>1.2932900000000001E-3</v>
      </c>
    </row>
    <row r="314" spans="1:5" x14ac:dyDescent="0.25">
      <c r="A314" t="s">
        <v>87</v>
      </c>
      <c r="B314">
        <v>1</v>
      </c>
      <c r="C314">
        <v>1</v>
      </c>
      <c r="D314">
        <v>0.51768700000000001</v>
      </c>
      <c r="E314">
        <v>1.74354E-3</v>
      </c>
    </row>
    <row r="315" spans="1:5" x14ac:dyDescent="0.25">
      <c r="A315" t="s">
        <v>87</v>
      </c>
      <c r="B315">
        <v>1</v>
      </c>
      <c r="C315">
        <v>1</v>
      </c>
      <c r="D315">
        <v>0.56432000000000004</v>
      </c>
      <c r="E315">
        <v>2.74303E-3</v>
      </c>
    </row>
    <row r="316" spans="1:5" x14ac:dyDescent="0.25">
      <c r="A316" t="s">
        <v>87</v>
      </c>
      <c r="B316">
        <v>1</v>
      </c>
      <c r="C316">
        <v>1</v>
      </c>
      <c r="D316">
        <v>0.62724400000000002</v>
      </c>
      <c r="E316">
        <v>4.0517499999999998E-3</v>
      </c>
    </row>
    <row r="317" spans="1:5" x14ac:dyDescent="0.25">
      <c r="A317" t="s">
        <v>87</v>
      </c>
      <c r="B317">
        <v>1</v>
      </c>
      <c r="C317">
        <v>1</v>
      </c>
      <c r="D317">
        <v>0.71169000000000004</v>
      </c>
      <c r="E317">
        <v>5.8266899999999998E-3</v>
      </c>
    </row>
    <row r="318" spans="1:5" x14ac:dyDescent="0.25">
      <c r="A318" t="s">
        <v>87</v>
      </c>
      <c r="B318">
        <v>1</v>
      </c>
      <c r="C318">
        <v>1</v>
      </c>
      <c r="D318">
        <v>0.80694500000000002</v>
      </c>
      <c r="E318">
        <v>8.1562600000000002E-3</v>
      </c>
    </row>
    <row r="319" spans="1:5" x14ac:dyDescent="0.25">
      <c r="A319" t="s">
        <v>87</v>
      </c>
      <c r="B319">
        <v>1</v>
      </c>
      <c r="C319">
        <v>1</v>
      </c>
      <c r="D319">
        <v>0.98214199999999996</v>
      </c>
      <c r="E319">
        <v>1.2859290000000001E-2</v>
      </c>
    </row>
    <row r="320" spans="1:5" x14ac:dyDescent="0.25">
      <c r="A320" t="s">
        <v>87</v>
      </c>
      <c r="B320">
        <v>1</v>
      </c>
      <c r="C320">
        <v>1</v>
      </c>
      <c r="D320">
        <v>1.205708</v>
      </c>
      <c r="E320">
        <v>1.9392989999999999E-2</v>
      </c>
    </row>
    <row r="321" spans="1:5" x14ac:dyDescent="0.25">
      <c r="A321" t="s">
        <v>87</v>
      </c>
      <c r="B321">
        <v>1</v>
      </c>
      <c r="C321">
        <v>1</v>
      </c>
      <c r="D321">
        <v>1.445692</v>
      </c>
      <c r="E321">
        <v>2.6483099999999999E-2</v>
      </c>
    </row>
    <row r="322" spans="1:5" x14ac:dyDescent="0.25">
      <c r="A322" t="s">
        <v>87</v>
      </c>
      <c r="B322">
        <v>1</v>
      </c>
      <c r="C322">
        <v>1</v>
      </c>
      <c r="D322">
        <v>1.6484939999999999</v>
      </c>
      <c r="E322">
        <v>3.3016589999999998E-2</v>
      </c>
    </row>
    <row r="323" spans="1:5" x14ac:dyDescent="0.25">
      <c r="A323" t="s">
        <v>87</v>
      </c>
      <c r="B323">
        <v>1</v>
      </c>
      <c r="C323">
        <v>1</v>
      </c>
      <c r="D323">
        <v>1.9102840000000001</v>
      </c>
      <c r="E323">
        <v>4.046338E-2</v>
      </c>
    </row>
    <row r="324" spans="1:5" x14ac:dyDescent="0.25">
      <c r="A324" t="s">
        <v>87</v>
      </c>
      <c r="B324">
        <v>1</v>
      </c>
      <c r="C324">
        <v>1</v>
      </c>
      <c r="D324">
        <v>2.1294729999999999</v>
      </c>
      <c r="E324">
        <v>4.6094690000000001E-2</v>
      </c>
    </row>
    <row r="325" spans="1:5" x14ac:dyDescent="0.25">
      <c r="A325" t="s">
        <v>87</v>
      </c>
      <c r="B325">
        <v>1</v>
      </c>
      <c r="C325">
        <v>1</v>
      </c>
      <c r="D325">
        <v>2.3809279999999999</v>
      </c>
      <c r="E325">
        <v>5.0670479999999997E-2</v>
      </c>
    </row>
    <row r="326" spans="1:5" x14ac:dyDescent="0.25">
      <c r="A326" t="s">
        <v>87</v>
      </c>
      <c r="B326">
        <v>1</v>
      </c>
      <c r="C326">
        <v>1</v>
      </c>
      <c r="D326">
        <v>2.6110509999999998</v>
      </c>
      <c r="E326">
        <v>5.4189809999999998E-2</v>
      </c>
    </row>
    <row r="327" spans="1:5" x14ac:dyDescent="0.25">
      <c r="A327" t="s">
        <v>87</v>
      </c>
      <c r="B327">
        <v>1</v>
      </c>
      <c r="C327">
        <v>1</v>
      </c>
      <c r="D327">
        <v>2.9591189999999998</v>
      </c>
      <c r="E327">
        <v>5.6512189999999997E-2</v>
      </c>
    </row>
    <row r="328" spans="1:5" x14ac:dyDescent="0.25">
      <c r="A328" t="s">
        <v>87</v>
      </c>
      <c r="B328">
        <v>1</v>
      </c>
      <c r="C328">
        <v>1</v>
      </c>
      <c r="D328">
        <v>3.2376109999999998</v>
      </c>
      <c r="E328">
        <v>5.7810510000000002E-2</v>
      </c>
    </row>
    <row r="329" spans="1:5" x14ac:dyDescent="0.25">
      <c r="A329" t="s">
        <v>87</v>
      </c>
      <c r="B329">
        <v>1</v>
      </c>
      <c r="C329">
        <v>1</v>
      </c>
      <c r="D329">
        <v>3.6126520000000002</v>
      </c>
      <c r="E329">
        <v>5.7128119999999998E-2</v>
      </c>
    </row>
    <row r="330" spans="1:5" x14ac:dyDescent="0.25">
      <c r="A330" t="s">
        <v>87</v>
      </c>
      <c r="B330">
        <v>1</v>
      </c>
      <c r="C330">
        <v>1</v>
      </c>
      <c r="D330">
        <v>3.9608460000000001</v>
      </c>
      <c r="E330">
        <v>5.745902E-2</v>
      </c>
    </row>
    <row r="331" spans="1:5" x14ac:dyDescent="0.25">
      <c r="A331" t="s">
        <v>87</v>
      </c>
      <c r="B331">
        <v>1</v>
      </c>
      <c r="C331">
        <v>1</v>
      </c>
      <c r="D331">
        <v>4.2555040000000002</v>
      </c>
      <c r="E331">
        <v>5.7220489999999999E-2</v>
      </c>
    </row>
    <row r="332" spans="1:5" x14ac:dyDescent="0.25">
      <c r="A332" t="s">
        <v>87</v>
      </c>
      <c r="B332">
        <v>1</v>
      </c>
      <c r="C332">
        <v>1</v>
      </c>
      <c r="D332">
        <v>4.5500980000000002</v>
      </c>
      <c r="E332">
        <v>5.8023379999999999E-2</v>
      </c>
    </row>
    <row r="333" spans="1:5" x14ac:dyDescent="0.25">
      <c r="A333" t="s">
        <v>87</v>
      </c>
      <c r="B333">
        <v>1</v>
      </c>
      <c r="C333">
        <v>1</v>
      </c>
      <c r="D333">
        <v>4.8286530000000001</v>
      </c>
      <c r="E333">
        <v>5.8292089999999998E-2</v>
      </c>
    </row>
    <row r="334" spans="1:5" x14ac:dyDescent="0.25">
      <c r="A334" t="s">
        <v>87</v>
      </c>
      <c r="B334">
        <v>1</v>
      </c>
      <c r="C334">
        <v>1</v>
      </c>
      <c r="D334">
        <v>5.0428629999999997</v>
      </c>
      <c r="E334">
        <v>5.9567759999999997E-2</v>
      </c>
    </row>
    <row r="335" spans="1:5" x14ac:dyDescent="0.25">
      <c r="A335" t="s">
        <v>87</v>
      </c>
      <c r="B335">
        <v>1</v>
      </c>
      <c r="C335">
        <v>1</v>
      </c>
      <c r="D335">
        <v>5.3107049999999996</v>
      </c>
      <c r="E335">
        <v>5.9832990000000003E-2</v>
      </c>
    </row>
    <row r="336" spans="1:5" x14ac:dyDescent="0.25">
      <c r="A336" t="s">
        <v>87</v>
      </c>
      <c r="B336">
        <v>1</v>
      </c>
      <c r="C336">
        <v>1</v>
      </c>
      <c r="D336">
        <v>5.6214649999999997</v>
      </c>
      <c r="E336">
        <v>5.906372E-2</v>
      </c>
    </row>
    <row r="337" spans="1:5" x14ac:dyDescent="0.25">
      <c r="A337" t="s">
        <v>87</v>
      </c>
      <c r="B337">
        <v>1</v>
      </c>
      <c r="C337">
        <v>1</v>
      </c>
      <c r="D337">
        <v>5.9161219999999997</v>
      </c>
      <c r="E337">
        <v>5.8818519999999999E-2</v>
      </c>
    </row>
    <row r="338" spans="1:5" x14ac:dyDescent="0.25">
      <c r="A338" t="s">
        <v>87</v>
      </c>
      <c r="B338">
        <v>2.5</v>
      </c>
      <c r="C338">
        <v>0.5</v>
      </c>
      <c r="D338">
        <v>0.50428200000000001</v>
      </c>
      <c r="E338">
        <v>2.0209999999999998E-3</v>
      </c>
    </row>
    <row r="339" spans="1:5" x14ac:dyDescent="0.25">
      <c r="A339" t="s">
        <v>87</v>
      </c>
      <c r="B339">
        <v>2.5</v>
      </c>
      <c r="C339">
        <v>0.5</v>
      </c>
      <c r="D339">
        <v>0.56837499999999996</v>
      </c>
      <c r="E339">
        <v>2.9169999999999999E-3</v>
      </c>
    </row>
    <row r="340" spans="1:5" x14ac:dyDescent="0.25">
      <c r="A340" t="s">
        <v>87</v>
      </c>
      <c r="B340">
        <v>2.5</v>
      </c>
      <c r="C340">
        <v>0.5</v>
      </c>
      <c r="D340">
        <v>0.64333499999999999</v>
      </c>
      <c r="E340">
        <v>4.248E-3</v>
      </c>
    </row>
    <row r="341" spans="1:5" x14ac:dyDescent="0.25">
      <c r="A341" t="s">
        <v>87</v>
      </c>
      <c r="B341">
        <v>2.5</v>
      </c>
      <c r="C341">
        <v>0.5</v>
      </c>
      <c r="D341">
        <v>0.72380699999999998</v>
      </c>
      <c r="E341">
        <v>6.0780000000000001E-3</v>
      </c>
    </row>
    <row r="342" spans="1:5" x14ac:dyDescent="0.25">
      <c r="A342" t="s">
        <v>87</v>
      </c>
      <c r="B342">
        <v>2.5</v>
      </c>
      <c r="C342">
        <v>0.5</v>
      </c>
      <c r="D342">
        <v>0.82607600000000003</v>
      </c>
      <c r="E342">
        <v>8.6979999999999991E-3</v>
      </c>
    </row>
    <row r="343" spans="1:5" x14ac:dyDescent="0.25">
      <c r="A343" t="s">
        <v>87</v>
      </c>
      <c r="B343">
        <v>2.5</v>
      </c>
      <c r="C343">
        <v>0.5</v>
      </c>
      <c r="D343">
        <v>0.93376300000000001</v>
      </c>
      <c r="E343">
        <v>1.2560999999999999E-2</v>
      </c>
    </row>
    <row r="344" spans="1:5" x14ac:dyDescent="0.25">
      <c r="A344" t="s">
        <v>87</v>
      </c>
      <c r="B344">
        <v>2.5</v>
      </c>
      <c r="C344">
        <v>0.5</v>
      </c>
      <c r="D344">
        <v>1.0469630000000001</v>
      </c>
      <c r="E344">
        <v>1.7821E-2</v>
      </c>
    </row>
    <row r="345" spans="1:5" x14ac:dyDescent="0.25">
      <c r="A345" t="s">
        <v>87</v>
      </c>
      <c r="B345">
        <v>2.5</v>
      </c>
      <c r="C345">
        <v>0.5</v>
      </c>
      <c r="D345">
        <v>1.154809</v>
      </c>
      <c r="E345">
        <v>2.4612999999999999E-2</v>
      </c>
    </row>
    <row r="346" spans="1:5" x14ac:dyDescent="0.25">
      <c r="A346" t="s">
        <v>87</v>
      </c>
      <c r="B346">
        <v>2.5</v>
      </c>
      <c r="C346">
        <v>0.5</v>
      </c>
      <c r="D346">
        <v>1.2844519999999999</v>
      </c>
      <c r="E346">
        <v>3.4004E-2</v>
      </c>
    </row>
    <row r="347" spans="1:5" x14ac:dyDescent="0.25">
      <c r="A347" t="s">
        <v>87</v>
      </c>
      <c r="B347">
        <v>2.5</v>
      </c>
      <c r="C347">
        <v>0.5</v>
      </c>
      <c r="D347">
        <v>1.42493</v>
      </c>
      <c r="E347">
        <v>4.7833000000000001E-2</v>
      </c>
    </row>
    <row r="348" spans="1:5" x14ac:dyDescent="0.25">
      <c r="A348" t="s">
        <v>87</v>
      </c>
      <c r="B348">
        <v>2.5</v>
      </c>
      <c r="C348">
        <v>0.5</v>
      </c>
      <c r="D348">
        <v>1.5601799999999999</v>
      </c>
      <c r="E348">
        <v>6.3205999999999998E-2</v>
      </c>
    </row>
    <row r="349" spans="1:5" x14ac:dyDescent="0.25">
      <c r="A349" t="s">
        <v>87</v>
      </c>
      <c r="B349">
        <v>2.5</v>
      </c>
      <c r="C349">
        <v>0.5</v>
      </c>
      <c r="D349">
        <v>1.7389300000000001</v>
      </c>
      <c r="E349">
        <v>8.5841000000000001E-2</v>
      </c>
    </row>
    <row r="350" spans="1:5" x14ac:dyDescent="0.25">
      <c r="A350" t="s">
        <v>87</v>
      </c>
      <c r="B350">
        <v>2.5</v>
      </c>
      <c r="C350">
        <v>0.5</v>
      </c>
      <c r="D350">
        <v>1.9123889999999999</v>
      </c>
      <c r="E350">
        <v>0.111486</v>
      </c>
    </row>
    <row r="351" spans="1:5" x14ac:dyDescent="0.25">
      <c r="A351" t="s">
        <v>87</v>
      </c>
      <c r="B351">
        <v>2.5</v>
      </c>
      <c r="C351">
        <v>0.5</v>
      </c>
      <c r="D351">
        <v>2.1241829999999999</v>
      </c>
      <c r="E351">
        <v>0.137321</v>
      </c>
    </row>
    <row r="352" spans="1:5" x14ac:dyDescent="0.25">
      <c r="A352" t="s">
        <v>87</v>
      </c>
      <c r="B352">
        <v>2.5</v>
      </c>
      <c r="C352">
        <v>0.5</v>
      </c>
      <c r="D352">
        <v>2.3251729999999999</v>
      </c>
      <c r="E352">
        <v>0.16464699999999999</v>
      </c>
    </row>
    <row r="353" spans="1:5" x14ac:dyDescent="0.25">
      <c r="A353" t="s">
        <v>87</v>
      </c>
      <c r="B353">
        <v>2.5</v>
      </c>
      <c r="C353">
        <v>0.5</v>
      </c>
      <c r="D353">
        <v>2.7058330000000002</v>
      </c>
      <c r="E353">
        <v>0.20697199999999999</v>
      </c>
    </row>
    <row r="354" spans="1:5" x14ac:dyDescent="0.25">
      <c r="A354" t="s">
        <v>87</v>
      </c>
      <c r="B354">
        <v>2.5</v>
      </c>
      <c r="C354">
        <v>0.5</v>
      </c>
      <c r="D354">
        <v>2.9452850000000002</v>
      </c>
      <c r="E354">
        <v>0.227101</v>
      </c>
    </row>
    <row r="355" spans="1:5" x14ac:dyDescent="0.25">
      <c r="A355" t="s">
        <v>87</v>
      </c>
      <c r="B355">
        <v>2.5</v>
      </c>
      <c r="C355">
        <v>0.5</v>
      </c>
      <c r="D355">
        <v>3.1738710000000001</v>
      </c>
      <c r="E355">
        <v>0.24693300000000001</v>
      </c>
    </row>
    <row r="356" spans="1:5" x14ac:dyDescent="0.25">
      <c r="A356" t="s">
        <v>87</v>
      </c>
      <c r="B356">
        <v>2.5</v>
      </c>
      <c r="C356">
        <v>0.5</v>
      </c>
      <c r="D356">
        <v>3.4080010000000001</v>
      </c>
      <c r="E356">
        <v>0.26142500000000002</v>
      </c>
    </row>
    <row r="357" spans="1:5" x14ac:dyDescent="0.25">
      <c r="A357" t="s">
        <v>87</v>
      </c>
      <c r="B357">
        <v>2.5</v>
      </c>
      <c r="C357">
        <v>0.5</v>
      </c>
      <c r="D357">
        <v>3.6857250000000001</v>
      </c>
      <c r="E357">
        <v>0.276947</v>
      </c>
    </row>
    <row r="358" spans="1:5" x14ac:dyDescent="0.25">
      <c r="A358" t="s">
        <v>87</v>
      </c>
      <c r="B358">
        <v>2.5</v>
      </c>
      <c r="C358">
        <v>0.5</v>
      </c>
      <c r="D358">
        <v>4.0070119999999996</v>
      </c>
      <c r="E358">
        <v>0.296213</v>
      </c>
    </row>
    <row r="359" spans="1:5" x14ac:dyDescent="0.25">
      <c r="A359" t="s">
        <v>87</v>
      </c>
      <c r="B359">
        <v>2.5</v>
      </c>
      <c r="C359">
        <v>0.5</v>
      </c>
      <c r="D359">
        <v>4.3882729999999999</v>
      </c>
      <c r="E359">
        <v>0.31428400000000001</v>
      </c>
    </row>
    <row r="360" spans="1:5" x14ac:dyDescent="0.25">
      <c r="A360" t="s">
        <v>87</v>
      </c>
      <c r="B360">
        <v>2.5</v>
      </c>
      <c r="C360">
        <v>0.5</v>
      </c>
      <c r="D360">
        <v>4.6060869999999996</v>
      </c>
      <c r="E360">
        <v>0.32969300000000001</v>
      </c>
    </row>
    <row r="361" spans="1:5" x14ac:dyDescent="0.25">
      <c r="A361" t="s">
        <v>87</v>
      </c>
      <c r="B361">
        <v>2.5</v>
      </c>
      <c r="C361">
        <v>0.5</v>
      </c>
      <c r="D361">
        <v>4.8566599999999998</v>
      </c>
      <c r="E361">
        <v>0.33990399999999998</v>
      </c>
    </row>
    <row r="362" spans="1:5" x14ac:dyDescent="0.25">
      <c r="A362" t="s">
        <v>87</v>
      </c>
      <c r="B362">
        <v>2.5</v>
      </c>
      <c r="C362">
        <v>0.5</v>
      </c>
      <c r="D362">
        <v>5.0908850000000001</v>
      </c>
      <c r="E362">
        <v>0.35034599999999999</v>
      </c>
    </row>
    <row r="363" spans="1:5" x14ac:dyDescent="0.25">
      <c r="A363" t="s">
        <v>87</v>
      </c>
      <c r="B363">
        <v>2.5</v>
      </c>
      <c r="C363">
        <v>0.5</v>
      </c>
      <c r="D363">
        <v>5.4776590000000001</v>
      </c>
      <c r="E363">
        <v>0.365174</v>
      </c>
    </row>
    <row r="364" spans="1:5" x14ac:dyDescent="0.25">
      <c r="A364" t="s">
        <v>87</v>
      </c>
      <c r="B364">
        <v>2.5</v>
      </c>
      <c r="C364">
        <v>0.5</v>
      </c>
      <c r="D364">
        <v>5.8264139999999998</v>
      </c>
      <c r="E364">
        <v>0.36707299999999998</v>
      </c>
    </row>
    <row r="365" spans="1:5" x14ac:dyDescent="0.25">
      <c r="A365" t="s">
        <v>87</v>
      </c>
      <c r="B365">
        <v>2.5</v>
      </c>
      <c r="C365">
        <v>1</v>
      </c>
      <c r="D365">
        <v>0.50082899999999997</v>
      </c>
      <c r="E365">
        <v>5.3460000000000001E-3</v>
      </c>
    </row>
    <row r="366" spans="1:5" x14ac:dyDescent="0.25">
      <c r="A366" t="s">
        <v>87</v>
      </c>
      <c r="B366">
        <v>2.5</v>
      </c>
      <c r="C366">
        <v>1</v>
      </c>
      <c r="D366">
        <v>0.52696699999999996</v>
      </c>
      <c r="E366">
        <v>7.3090000000000004E-3</v>
      </c>
    </row>
    <row r="367" spans="1:5" x14ac:dyDescent="0.25">
      <c r="A367" t="s">
        <v>87</v>
      </c>
      <c r="B367">
        <v>2.5</v>
      </c>
      <c r="C367">
        <v>1</v>
      </c>
      <c r="D367">
        <v>0.56352800000000003</v>
      </c>
      <c r="E367">
        <v>1.1426E-2</v>
      </c>
    </row>
    <row r="368" spans="1:5" x14ac:dyDescent="0.25">
      <c r="A368" t="s">
        <v>87</v>
      </c>
      <c r="B368">
        <v>2.5</v>
      </c>
      <c r="C368">
        <v>1</v>
      </c>
      <c r="D368">
        <v>0.63294300000000003</v>
      </c>
      <c r="E368">
        <v>1.7090000000000001E-2</v>
      </c>
    </row>
    <row r="369" spans="1:5" x14ac:dyDescent="0.25">
      <c r="A369" t="s">
        <v>87</v>
      </c>
      <c r="B369">
        <v>2.5</v>
      </c>
      <c r="C369">
        <v>1</v>
      </c>
      <c r="D369">
        <v>0.71867400000000004</v>
      </c>
      <c r="E369">
        <v>2.5798999999999999E-2</v>
      </c>
    </row>
    <row r="370" spans="1:5" x14ac:dyDescent="0.25">
      <c r="A370" t="s">
        <v>87</v>
      </c>
      <c r="B370">
        <v>2.5</v>
      </c>
      <c r="C370">
        <v>1</v>
      </c>
      <c r="D370">
        <v>0.83716500000000005</v>
      </c>
      <c r="E370">
        <v>3.8275000000000003E-2</v>
      </c>
    </row>
    <row r="371" spans="1:5" x14ac:dyDescent="0.25">
      <c r="A371" t="s">
        <v>87</v>
      </c>
      <c r="B371">
        <v>2.5</v>
      </c>
      <c r="C371">
        <v>1</v>
      </c>
      <c r="D371">
        <v>0.99395900000000004</v>
      </c>
      <c r="E371">
        <v>5.4336000000000002E-2</v>
      </c>
    </row>
    <row r="372" spans="1:5" x14ac:dyDescent="0.25">
      <c r="A372" t="s">
        <v>87</v>
      </c>
      <c r="B372">
        <v>2.5</v>
      </c>
      <c r="C372">
        <v>1</v>
      </c>
      <c r="D372">
        <v>1.156234</v>
      </c>
      <c r="E372">
        <v>7.6457999999999998E-2</v>
      </c>
    </row>
    <row r="373" spans="1:5" x14ac:dyDescent="0.25">
      <c r="A373" t="s">
        <v>87</v>
      </c>
      <c r="B373">
        <v>2.5</v>
      </c>
      <c r="C373">
        <v>1</v>
      </c>
      <c r="D373">
        <v>1.34056</v>
      </c>
      <c r="E373">
        <v>0.100205</v>
      </c>
    </row>
    <row r="374" spans="1:5" x14ac:dyDescent="0.25">
      <c r="A374" t="s">
        <v>87</v>
      </c>
      <c r="B374">
        <v>2.5</v>
      </c>
      <c r="C374">
        <v>1</v>
      </c>
      <c r="D374">
        <v>1.573898</v>
      </c>
      <c r="E374">
        <v>0.132603</v>
      </c>
    </row>
    <row r="375" spans="1:5" x14ac:dyDescent="0.25">
      <c r="A375" t="s">
        <v>87</v>
      </c>
      <c r="B375">
        <v>2.5</v>
      </c>
      <c r="C375">
        <v>1</v>
      </c>
      <c r="D375">
        <v>1.796559</v>
      </c>
      <c r="E375">
        <v>0.164822</v>
      </c>
    </row>
    <row r="376" spans="1:5" x14ac:dyDescent="0.25">
      <c r="A376" t="s">
        <v>87</v>
      </c>
      <c r="B376">
        <v>2.5</v>
      </c>
      <c r="C376">
        <v>1</v>
      </c>
      <c r="D376">
        <v>2.0247959999999998</v>
      </c>
      <c r="E376">
        <v>0.19770099999999999</v>
      </c>
    </row>
    <row r="377" spans="1:5" x14ac:dyDescent="0.25">
      <c r="A377" t="s">
        <v>87</v>
      </c>
      <c r="B377">
        <v>2.5</v>
      </c>
      <c r="C377">
        <v>1</v>
      </c>
      <c r="D377">
        <v>2.264122</v>
      </c>
      <c r="E377">
        <v>0.22481100000000001</v>
      </c>
    </row>
    <row r="378" spans="1:5" x14ac:dyDescent="0.25">
      <c r="A378" t="s">
        <v>87</v>
      </c>
      <c r="B378">
        <v>2.5</v>
      </c>
      <c r="C378">
        <v>1</v>
      </c>
      <c r="D378">
        <v>2.5415610000000002</v>
      </c>
      <c r="E378">
        <v>0.258077</v>
      </c>
    </row>
    <row r="379" spans="1:5" x14ac:dyDescent="0.25">
      <c r="A379" t="s">
        <v>87</v>
      </c>
      <c r="B379">
        <v>2.5</v>
      </c>
      <c r="C379">
        <v>1</v>
      </c>
      <c r="D379">
        <v>2.8083239999999998</v>
      </c>
      <c r="E379">
        <v>0.278279</v>
      </c>
    </row>
    <row r="380" spans="1:5" x14ac:dyDescent="0.25">
      <c r="A380" t="s">
        <v>87</v>
      </c>
      <c r="B380">
        <v>2.5</v>
      </c>
      <c r="C380">
        <v>1</v>
      </c>
      <c r="D380">
        <v>3.0642510000000001</v>
      </c>
      <c r="E380">
        <v>0.294707</v>
      </c>
    </row>
    <row r="381" spans="1:5" x14ac:dyDescent="0.25">
      <c r="A381" t="s">
        <v>87</v>
      </c>
      <c r="B381">
        <v>2.5</v>
      </c>
      <c r="C381">
        <v>1</v>
      </c>
      <c r="D381">
        <v>3.3256589999999999</v>
      </c>
      <c r="E381">
        <v>0.30935600000000002</v>
      </c>
    </row>
    <row r="382" spans="1:5" x14ac:dyDescent="0.25">
      <c r="A382" t="s">
        <v>87</v>
      </c>
      <c r="B382">
        <v>2.5</v>
      </c>
      <c r="C382">
        <v>1</v>
      </c>
      <c r="D382">
        <v>3.570751</v>
      </c>
      <c r="E382">
        <v>0.32177</v>
      </c>
    </row>
    <row r="383" spans="1:5" x14ac:dyDescent="0.25">
      <c r="A383" t="s">
        <v>87</v>
      </c>
      <c r="B383">
        <v>2.5</v>
      </c>
      <c r="C383">
        <v>1</v>
      </c>
      <c r="D383">
        <v>3.8758490000000001</v>
      </c>
      <c r="E383">
        <v>0.32905499999999999</v>
      </c>
    </row>
    <row r="384" spans="1:5" x14ac:dyDescent="0.25">
      <c r="A384" t="s">
        <v>87</v>
      </c>
      <c r="B384">
        <v>2.5</v>
      </c>
      <c r="C384">
        <v>1</v>
      </c>
      <c r="D384">
        <v>4.1318390000000003</v>
      </c>
      <c r="E384">
        <v>0.34231499999999998</v>
      </c>
    </row>
    <row r="385" spans="1:5" x14ac:dyDescent="0.25">
      <c r="A385" t="s">
        <v>87</v>
      </c>
      <c r="B385">
        <v>2.5</v>
      </c>
      <c r="C385">
        <v>1</v>
      </c>
      <c r="D385">
        <v>4.6329849999999997</v>
      </c>
      <c r="E385">
        <v>0.36384699999999998</v>
      </c>
    </row>
    <row r="386" spans="1:5" x14ac:dyDescent="0.25">
      <c r="A386" t="s">
        <v>87</v>
      </c>
      <c r="B386">
        <v>2.5</v>
      </c>
      <c r="C386">
        <v>1</v>
      </c>
      <c r="D386">
        <v>4.9108049999999999</v>
      </c>
      <c r="E386">
        <v>0.37526799999999999</v>
      </c>
    </row>
    <row r="387" spans="1:5" x14ac:dyDescent="0.25">
      <c r="A387" t="s">
        <v>87</v>
      </c>
      <c r="B387">
        <v>2.5</v>
      </c>
      <c r="C387">
        <v>1</v>
      </c>
      <c r="D387">
        <v>5.1668589999999996</v>
      </c>
      <c r="E387">
        <v>0.38348500000000002</v>
      </c>
    </row>
    <row r="388" spans="1:5" x14ac:dyDescent="0.25">
      <c r="A388" t="s">
        <v>87</v>
      </c>
      <c r="B388">
        <v>2.5</v>
      </c>
      <c r="C388">
        <v>1</v>
      </c>
      <c r="D388">
        <v>5.4174309999999997</v>
      </c>
      <c r="E388">
        <v>0.39536199999999999</v>
      </c>
    </row>
    <row r="389" spans="1:5" x14ac:dyDescent="0.25">
      <c r="A389" t="s">
        <v>87</v>
      </c>
      <c r="B389">
        <v>2.5</v>
      </c>
      <c r="C389">
        <v>1</v>
      </c>
      <c r="D389">
        <v>5.6953459999999998</v>
      </c>
      <c r="E389">
        <v>0.39700000000000002</v>
      </c>
    </row>
    <row r="390" spans="1:5" x14ac:dyDescent="0.25">
      <c r="A390" t="s">
        <v>87</v>
      </c>
      <c r="B390">
        <v>2.5</v>
      </c>
      <c r="C390">
        <v>1</v>
      </c>
      <c r="D390">
        <v>5.9514310000000004</v>
      </c>
      <c r="E390">
        <v>0.40208700000000003</v>
      </c>
    </row>
    <row r="391" spans="1:5" x14ac:dyDescent="0.25">
      <c r="A391" t="s">
        <v>87</v>
      </c>
      <c r="B391">
        <v>2.5</v>
      </c>
      <c r="C391">
        <v>1.5</v>
      </c>
      <c r="D391">
        <v>0.52069399999999999</v>
      </c>
      <c r="E391">
        <v>0.198573</v>
      </c>
    </row>
    <row r="392" spans="1:5" x14ac:dyDescent="0.25">
      <c r="A392" t="s">
        <v>87</v>
      </c>
      <c r="B392">
        <v>2.5</v>
      </c>
      <c r="C392">
        <v>1.5</v>
      </c>
      <c r="D392">
        <v>0.78736099999999998</v>
      </c>
      <c r="E392">
        <v>0.21992700000000001</v>
      </c>
    </row>
    <row r="393" spans="1:5" x14ac:dyDescent="0.25">
      <c r="A393" t="s">
        <v>87</v>
      </c>
      <c r="B393">
        <v>2.5</v>
      </c>
      <c r="C393">
        <v>1.5</v>
      </c>
      <c r="D393">
        <v>1.0159149999999999</v>
      </c>
      <c r="E393">
        <v>0.24127599999999999</v>
      </c>
    </row>
    <row r="394" spans="1:5" x14ac:dyDescent="0.25">
      <c r="A394" t="s">
        <v>87</v>
      </c>
      <c r="B394">
        <v>2.5</v>
      </c>
      <c r="C394">
        <v>1.5</v>
      </c>
      <c r="D394">
        <v>1.320727</v>
      </c>
      <c r="E394">
        <v>0.267374</v>
      </c>
    </row>
    <row r="395" spans="1:5" x14ac:dyDescent="0.25">
      <c r="A395" t="s">
        <v>87</v>
      </c>
      <c r="B395">
        <v>2.5</v>
      </c>
      <c r="C395">
        <v>1.5</v>
      </c>
      <c r="D395">
        <v>1.609224</v>
      </c>
      <c r="E395">
        <v>0.29359099999999999</v>
      </c>
    </row>
    <row r="396" spans="1:5" x14ac:dyDescent="0.25">
      <c r="A396" t="s">
        <v>87</v>
      </c>
      <c r="B396">
        <v>2.5</v>
      </c>
      <c r="C396">
        <v>1.5</v>
      </c>
      <c r="D396">
        <v>1.9195169999999999</v>
      </c>
      <c r="E396">
        <v>0.32248300000000002</v>
      </c>
    </row>
    <row r="397" spans="1:5" x14ac:dyDescent="0.25">
      <c r="A397" t="s">
        <v>87</v>
      </c>
      <c r="B397">
        <v>2.5</v>
      </c>
      <c r="C397">
        <v>1.5</v>
      </c>
      <c r="D397">
        <v>2.2625700000000002</v>
      </c>
      <c r="E397">
        <v>0.34812100000000001</v>
      </c>
    </row>
    <row r="398" spans="1:5" x14ac:dyDescent="0.25">
      <c r="A398" t="s">
        <v>87</v>
      </c>
      <c r="B398">
        <v>2.5</v>
      </c>
      <c r="C398">
        <v>1.5</v>
      </c>
      <c r="D398">
        <v>2.611103</v>
      </c>
      <c r="E398">
        <v>0.37248900000000001</v>
      </c>
    </row>
    <row r="399" spans="1:5" x14ac:dyDescent="0.25">
      <c r="A399" t="s">
        <v>87</v>
      </c>
      <c r="B399">
        <v>2.5</v>
      </c>
      <c r="C399">
        <v>1.5</v>
      </c>
      <c r="D399">
        <v>2.9977819999999999</v>
      </c>
      <c r="E399">
        <v>0.398789</v>
      </c>
    </row>
    <row r="400" spans="1:5" x14ac:dyDescent="0.25">
      <c r="A400" t="s">
        <v>87</v>
      </c>
      <c r="B400">
        <v>2.5</v>
      </c>
      <c r="C400">
        <v>1.5</v>
      </c>
      <c r="D400">
        <v>3.3354810000000001</v>
      </c>
      <c r="E400">
        <v>0.41908800000000002</v>
      </c>
    </row>
    <row r="401" spans="1:5" x14ac:dyDescent="0.25">
      <c r="A401" t="s">
        <v>87</v>
      </c>
      <c r="B401">
        <v>2.5</v>
      </c>
      <c r="C401">
        <v>1.5</v>
      </c>
      <c r="D401">
        <v>3.629648</v>
      </c>
      <c r="E401">
        <v>0.43234800000000001</v>
      </c>
    </row>
    <row r="402" spans="1:5" x14ac:dyDescent="0.25">
      <c r="A402" t="s">
        <v>87</v>
      </c>
      <c r="B402">
        <v>2.5</v>
      </c>
      <c r="C402">
        <v>1.5</v>
      </c>
      <c r="D402">
        <v>3.9456129999999998</v>
      </c>
      <c r="E402">
        <v>0.44617200000000001</v>
      </c>
    </row>
    <row r="403" spans="1:5" x14ac:dyDescent="0.25">
      <c r="A403" t="s">
        <v>87</v>
      </c>
      <c r="B403">
        <v>2.5</v>
      </c>
      <c r="C403">
        <v>1.5</v>
      </c>
      <c r="D403">
        <v>4.2180140000000002</v>
      </c>
      <c r="E403">
        <v>0.45605099999999998</v>
      </c>
    </row>
    <row r="404" spans="1:5" x14ac:dyDescent="0.25">
      <c r="A404" t="s">
        <v>87</v>
      </c>
      <c r="B404">
        <v>2.5</v>
      </c>
      <c r="C404">
        <v>1.5</v>
      </c>
      <c r="D404">
        <v>4.5231120000000002</v>
      </c>
      <c r="E404">
        <v>0.46637600000000001</v>
      </c>
    </row>
    <row r="405" spans="1:5" x14ac:dyDescent="0.25">
      <c r="A405" t="s">
        <v>87</v>
      </c>
      <c r="B405">
        <v>2.5</v>
      </c>
      <c r="C405">
        <v>1.5</v>
      </c>
      <c r="D405">
        <v>4.8609049999999998</v>
      </c>
      <c r="E405">
        <v>0.47716700000000001</v>
      </c>
    </row>
    <row r="406" spans="1:5" x14ac:dyDescent="0.25">
      <c r="A406" t="s">
        <v>87</v>
      </c>
      <c r="B406">
        <v>2.5</v>
      </c>
      <c r="C406">
        <v>1.5</v>
      </c>
      <c r="D406">
        <v>5.2422930000000001</v>
      </c>
      <c r="E406">
        <v>0.48852400000000001</v>
      </c>
    </row>
    <row r="407" spans="1:5" x14ac:dyDescent="0.25">
      <c r="A407" t="s">
        <v>87</v>
      </c>
      <c r="B407">
        <v>2.5</v>
      </c>
      <c r="C407">
        <v>1.5</v>
      </c>
      <c r="D407">
        <v>5.4820630000000001</v>
      </c>
      <c r="E407">
        <v>0.49026999999999998</v>
      </c>
    </row>
    <row r="408" spans="1:5" x14ac:dyDescent="0.25">
      <c r="A408" t="s">
        <v>87</v>
      </c>
      <c r="B408">
        <v>2.5</v>
      </c>
      <c r="C408">
        <v>1.5</v>
      </c>
      <c r="D408">
        <v>5.9070770000000001</v>
      </c>
      <c r="E408">
        <v>0.49780200000000002</v>
      </c>
    </row>
    <row r="409" spans="1:5" x14ac:dyDescent="0.25">
      <c r="A409" t="s">
        <v>87</v>
      </c>
      <c r="B409">
        <v>2.5</v>
      </c>
      <c r="C409">
        <v>2</v>
      </c>
      <c r="D409">
        <v>0.51429400000000003</v>
      </c>
      <c r="E409">
        <v>0.25951200000000002</v>
      </c>
    </row>
    <row r="410" spans="1:5" x14ac:dyDescent="0.25">
      <c r="A410" t="s">
        <v>87</v>
      </c>
      <c r="B410">
        <v>2.5</v>
      </c>
      <c r="C410">
        <v>2</v>
      </c>
      <c r="D410">
        <v>0.67761499999999997</v>
      </c>
      <c r="E410">
        <v>0.27201500000000001</v>
      </c>
    </row>
    <row r="411" spans="1:5" x14ac:dyDescent="0.25">
      <c r="A411" t="s">
        <v>87</v>
      </c>
      <c r="B411">
        <v>2.5</v>
      </c>
      <c r="C411">
        <v>2</v>
      </c>
      <c r="D411">
        <v>0.92264299999999999</v>
      </c>
      <c r="E411">
        <v>0.288026</v>
      </c>
    </row>
    <row r="412" spans="1:5" x14ac:dyDescent="0.25">
      <c r="A412" t="s">
        <v>87</v>
      </c>
      <c r="B412">
        <v>2.5</v>
      </c>
      <c r="C412">
        <v>2</v>
      </c>
      <c r="D412">
        <v>1.0913809999999999</v>
      </c>
      <c r="E412">
        <v>0.30463299999999999</v>
      </c>
    </row>
    <row r="413" spans="1:5" x14ac:dyDescent="0.25">
      <c r="A413" t="s">
        <v>87</v>
      </c>
      <c r="B413">
        <v>2.5</v>
      </c>
      <c r="C413">
        <v>2</v>
      </c>
      <c r="D413">
        <v>1.3364100000000001</v>
      </c>
      <c r="E413">
        <v>0.32256400000000002</v>
      </c>
    </row>
    <row r="414" spans="1:5" x14ac:dyDescent="0.25">
      <c r="A414" t="s">
        <v>87</v>
      </c>
      <c r="B414">
        <v>2.5</v>
      </c>
      <c r="C414">
        <v>2</v>
      </c>
      <c r="D414">
        <v>1.5596099999999999</v>
      </c>
      <c r="E414">
        <v>0.34449999999999997</v>
      </c>
    </row>
    <row r="415" spans="1:5" x14ac:dyDescent="0.25">
      <c r="A415" t="s">
        <v>87</v>
      </c>
      <c r="B415">
        <v>2.5</v>
      </c>
      <c r="C415">
        <v>2</v>
      </c>
      <c r="D415">
        <v>1.7991889999999999</v>
      </c>
      <c r="E415">
        <v>0.36474800000000002</v>
      </c>
    </row>
    <row r="416" spans="1:5" x14ac:dyDescent="0.25">
      <c r="A416" t="s">
        <v>87</v>
      </c>
      <c r="B416">
        <v>2.5</v>
      </c>
      <c r="C416">
        <v>2</v>
      </c>
      <c r="D416">
        <v>2.027901</v>
      </c>
      <c r="E416">
        <v>0.38269300000000001</v>
      </c>
    </row>
    <row r="417" spans="1:5" x14ac:dyDescent="0.25">
      <c r="A417" t="s">
        <v>87</v>
      </c>
      <c r="B417">
        <v>2.5</v>
      </c>
      <c r="C417">
        <v>2</v>
      </c>
      <c r="D417">
        <v>2.3328090000000001</v>
      </c>
      <c r="E417">
        <v>0.41288399999999997</v>
      </c>
    </row>
    <row r="418" spans="1:5" x14ac:dyDescent="0.25">
      <c r="A418" t="s">
        <v>87</v>
      </c>
      <c r="B418">
        <v>2.5</v>
      </c>
      <c r="C418">
        <v>2</v>
      </c>
      <c r="D418">
        <v>2.6378750000000002</v>
      </c>
      <c r="E418">
        <v>0.42601600000000001</v>
      </c>
    </row>
    <row r="419" spans="1:5" x14ac:dyDescent="0.25">
      <c r="A419" t="s">
        <v>87</v>
      </c>
      <c r="B419">
        <v>2.5</v>
      </c>
      <c r="C419">
        <v>2</v>
      </c>
      <c r="D419">
        <v>2.8720680000000001</v>
      </c>
      <c r="E419">
        <v>0.44303999999999999</v>
      </c>
    </row>
    <row r="420" spans="1:5" x14ac:dyDescent="0.25">
      <c r="A420" t="s">
        <v>87</v>
      </c>
      <c r="B420">
        <v>2.5</v>
      </c>
      <c r="C420">
        <v>2</v>
      </c>
      <c r="D420">
        <v>3.2370760000000001</v>
      </c>
      <c r="E420">
        <v>0.45754</v>
      </c>
    </row>
    <row r="421" spans="1:5" x14ac:dyDescent="0.25">
      <c r="A421" t="s">
        <v>87</v>
      </c>
      <c r="B421">
        <v>2.5</v>
      </c>
      <c r="C421">
        <v>2</v>
      </c>
      <c r="D421">
        <v>3.4876179999999999</v>
      </c>
      <c r="E421">
        <v>0.475939</v>
      </c>
    </row>
    <row r="422" spans="1:5" x14ac:dyDescent="0.25">
      <c r="A422" t="s">
        <v>87</v>
      </c>
      <c r="B422">
        <v>2.5</v>
      </c>
      <c r="C422">
        <v>2</v>
      </c>
      <c r="D422">
        <v>3.8199299999999998</v>
      </c>
      <c r="E422">
        <v>0.49127599999999999</v>
      </c>
    </row>
    <row r="423" spans="1:5" x14ac:dyDescent="0.25">
      <c r="A423" t="s">
        <v>87</v>
      </c>
      <c r="B423">
        <v>2.5</v>
      </c>
      <c r="C423">
        <v>2</v>
      </c>
      <c r="D423">
        <v>4.16859</v>
      </c>
      <c r="E423">
        <v>0.50723099999999999</v>
      </c>
    </row>
    <row r="424" spans="1:5" x14ac:dyDescent="0.25">
      <c r="A424" t="s">
        <v>87</v>
      </c>
      <c r="B424">
        <v>2.5</v>
      </c>
      <c r="C424">
        <v>2</v>
      </c>
      <c r="D424">
        <v>4.4682389999999996</v>
      </c>
      <c r="E424">
        <v>0.51867300000000005</v>
      </c>
    </row>
    <row r="425" spans="1:5" x14ac:dyDescent="0.25">
      <c r="A425" t="s">
        <v>87</v>
      </c>
      <c r="B425">
        <v>2.5</v>
      </c>
      <c r="C425">
        <v>2</v>
      </c>
      <c r="D425">
        <v>4.7134260000000001</v>
      </c>
      <c r="E425">
        <v>0.52523500000000001</v>
      </c>
    </row>
    <row r="426" spans="1:5" x14ac:dyDescent="0.25">
      <c r="A426" t="s">
        <v>87</v>
      </c>
      <c r="B426">
        <v>2.5</v>
      </c>
      <c r="C426">
        <v>2</v>
      </c>
      <c r="D426">
        <v>5.007625</v>
      </c>
      <c r="E426">
        <v>0.53703900000000004</v>
      </c>
    </row>
    <row r="427" spans="1:5" x14ac:dyDescent="0.25">
      <c r="A427" t="s">
        <v>87</v>
      </c>
      <c r="B427">
        <v>2.5</v>
      </c>
      <c r="C427">
        <v>2</v>
      </c>
      <c r="D427">
        <v>5.3236530000000002</v>
      </c>
      <c r="E427">
        <v>0.54440699999999997</v>
      </c>
    </row>
    <row r="428" spans="1:5" x14ac:dyDescent="0.25">
      <c r="A428" t="s">
        <v>87</v>
      </c>
      <c r="B428">
        <v>2.5</v>
      </c>
      <c r="C428">
        <v>2</v>
      </c>
      <c r="D428">
        <v>5.5634220000000001</v>
      </c>
      <c r="E428">
        <v>0.54635199999999995</v>
      </c>
    </row>
    <row r="429" spans="1:5" x14ac:dyDescent="0.25">
      <c r="A429" t="s">
        <v>87</v>
      </c>
      <c r="B429">
        <v>2.5</v>
      </c>
      <c r="C429">
        <v>2</v>
      </c>
      <c r="D429">
        <v>5.9175630000000004</v>
      </c>
      <c r="E429">
        <v>0.55912899999999999</v>
      </c>
    </row>
    <row r="430" spans="1:5" x14ac:dyDescent="0.25">
      <c r="A430" t="s">
        <v>88</v>
      </c>
      <c r="B430">
        <v>1</v>
      </c>
      <c r="C430">
        <v>0.5</v>
      </c>
      <c r="D430">
        <v>0.50412100000000004</v>
      </c>
      <c r="E430">
        <v>1.8320800000000002E-2</v>
      </c>
    </row>
    <row r="431" spans="1:5" x14ac:dyDescent="0.25">
      <c r="A431" t="s">
        <v>88</v>
      </c>
      <c r="B431">
        <v>1</v>
      </c>
      <c r="C431">
        <v>0.5</v>
      </c>
      <c r="D431">
        <v>0.52957900000000002</v>
      </c>
      <c r="E431">
        <v>2.680138E-2</v>
      </c>
    </row>
    <row r="432" spans="1:5" x14ac:dyDescent="0.25">
      <c r="A432" t="s">
        <v>88</v>
      </c>
      <c r="B432">
        <v>1</v>
      </c>
      <c r="C432">
        <v>0.5</v>
      </c>
      <c r="D432">
        <v>0.61399400000000004</v>
      </c>
      <c r="E432">
        <v>3.8892469999999998E-2</v>
      </c>
    </row>
    <row r="433" spans="1:5" x14ac:dyDescent="0.25">
      <c r="A433" t="s">
        <v>88</v>
      </c>
      <c r="B433">
        <v>1</v>
      </c>
      <c r="C433">
        <v>0.5</v>
      </c>
      <c r="D433">
        <v>0.70382900000000004</v>
      </c>
      <c r="E433">
        <v>5.54312E-2</v>
      </c>
    </row>
    <row r="434" spans="1:5" x14ac:dyDescent="0.25">
      <c r="A434" t="s">
        <v>88</v>
      </c>
      <c r="B434">
        <v>1</v>
      </c>
      <c r="C434">
        <v>0.5</v>
      </c>
      <c r="D434">
        <v>0.79917800000000006</v>
      </c>
      <c r="E434">
        <v>7.5515559999999995E-2</v>
      </c>
    </row>
    <row r="435" spans="1:5" x14ac:dyDescent="0.25">
      <c r="A435" t="s">
        <v>88</v>
      </c>
      <c r="B435">
        <v>1</v>
      </c>
      <c r="C435">
        <v>0.5</v>
      </c>
      <c r="D435">
        <v>0.91595499999999996</v>
      </c>
      <c r="E435">
        <v>0.10291365</v>
      </c>
    </row>
    <row r="436" spans="1:5" x14ac:dyDescent="0.25">
      <c r="A436" t="s">
        <v>88</v>
      </c>
      <c r="B436">
        <v>1</v>
      </c>
      <c r="C436">
        <v>0.5</v>
      </c>
      <c r="D436">
        <v>1.0648420000000001</v>
      </c>
      <c r="E436">
        <v>0.14160222</v>
      </c>
    </row>
    <row r="437" spans="1:5" x14ac:dyDescent="0.25">
      <c r="A437" t="s">
        <v>88</v>
      </c>
      <c r="B437">
        <v>1</v>
      </c>
      <c r="C437">
        <v>0.5</v>
      </c>
      <c r="D437">
        <v>1.2407010000000001</v>
      </c>
      <c r="E437">
        <v>0.18462300000000001</v>
      </c>
    </row>
    <row r="438" spans="1:5" x14ac:dyDescent="0.25">
      <c r="A438" t="s">
        <v>88</v>
      </c>
      <c r="B438">
        <v>1</v>
      </c>
      <c r="C438">
        <v>0.5</v>
      </c>
      <c r="D438">
        <v>1.3793789999999999</v>
      </c>
      <c r="E438">
        <v>0.21975612</v>
      </c>
    </row>
    <row r="439" spans="1:5" x14ac:dyDescent="0.25">
      <c r="A439" t="s">
        <v>88</v>
      </c>
      <c r="B439">
        <v>1</v>
      </c>
      <c r="C439">
        <v>0.5</v>
      </c>
      <c r="D439">
        <v>1.560848</v>
      </c>
      <c r="E439">
        <v>0.26654034999999998</v>
      </c>
    </row>
    <row r="440" spans="1:5" x14ac:dyDescent="0.25">
      <c r="A440" t="s">
        <v>88</v>
      </c>
      <c r="B440">
        <v>1</v>
      </c>
      <c r="C440">
        <v>0.5</v>
      </c>
      <c r="D440">
        <v>1.790529</v>
      </c>
      <c r="E440">
        <v>0.32354316999999999</v>
      </c>
    </row>
    <row r="441" spans="1:5" x14ac:dyDescent="0.25">
      <c r="A441" t="s">
        <v>88</v>
      </c>
      <c r="B441">
        <v>1</v>
      </c>
      <c r="C441">
        <v>0.5</v>
      </c>
      <c r="D441">
        <v>2.0096229999999999</v>
      </c>
      <c r="E441">
        <v>0.37871121000000002</v>
      </c>
    </row>
    <row r="442" spans="1:5" x14ac:dyDescent="0.25">
      <c r="A442" t="s">
        <v>88</v>
      </c>
      <c r="B442">
        <v>1</v>
      </c>
      <c r="C442">
        <v>0.5</v>
      </c>
      <c r="D442">
        <v>2.2395559999999999</v>
      </c>
      <c r="E442">
        <v>0.42760725999999999</v>
      </c>
    </row>
    <row r="443" spans="1:5" x14ac:dyDescent="0.25">
      <c r="A443" t="s">
        <v>88</v>
      </c>
      <c r="B443">
        <v>1</v>
      </c>
      <c r="C443">
        <v>0.5</v>
      </c>
      <c r="D443">
        <v>2.4910109999999999</v>
      </c>
      <c r="E443">
        <v>0.47005556999999998</v>
      </c>
    </row>
    <row r="444" spans="1:5" x14ac:dyDescent="0.25">
      <c r="A444" t="s">
        <v>88</v>
      </c>
      <c r="B444">
        <v>1</v>
      </c>
      <c r="C444">
        <v>0.5</v>
      </c>
      <c r="D444">
        <v>2.7104840000000001</v>
      </c>
      <c r="E444">
        <v>0.49360162000000002</v>
      </c>
    </row>
    <row r="445" spans="1:5" x14ac:dyDescent="0.25">
      <c r="A445" t="s">
        <v>88</v>
      </c>
      <c r="B445">
        <v>1</v>
      </c>
      <c r="C445">
        <v>0.5</v>
      </c>
      <c r="D445">
        <v>2.956709</v>
      </c>
      <c r="E445">
        <v>0.52327011999999995</v>
      </c>
    </row>
    <row r="446" spans="1:5" x14ac:dyDescent="0.25">
      <c r="A446" t="s">
        <v>88</v>
      </c>
      <c r="B446">
        <v>1</v>
      </c>
      <c r="C446">
        <v>0.5</v>
      </c>
      <c r="D446">
        <v>3.1923149999999998</v>
      </c>
      <c r="E446">
        <v>0.53977277999999995</v>
      </c>
    </row>
    <row r="447" spans="1:5" x14ac:dyDescent="0.25">
      <c r="A447" t="s">
        <v>88</v>
      </c>
      <c r="B447">
        <v>1</v>
      </c>
      <c r="C447">
        <v>0.5</v>
      </c>
      <c r="D447">
        <v>3.4333399999999998</v>
      </c>
      <c r="E447">
        <v>0.54686045999999999</v>
      </c>
    </row>
    <row r="448" spans="1:5" x14ac:dyDescent="0.25">
      <c r="A448" t="s">
        <v>88</v>
      </c>
      <c r="B448">
        <v>1</v>
      </c>
      <c r="C448">
        <v>0.5</v>
      </c>
      <c r="D448">
        <v>3.647551</v>
      </c>
      <c r="E448">
        <v>0.55882801999999998</v>
      </c>
    </row>
    <row r="449" spans="1:5" x14ac:dyDescent="0.25">
      <c r="A449" t="s">
        <v>88</v>
      </c>
      <c r="B449">
        <v>1</v>
      </c>
      <c r="C449">
        <v>0.5</v>
      </c>
      <c r="D449">
        <v>3.8564669999999999</v>
      </c>
      <c r="E449">
        <v>0.56076789000000005</v>
      </c>
    </row>
    <row r="450" spans="1:5" x14ac:dyDescent="0.25">
      <c r="A450" t="s">
        <v>88</v>
      </c>
      <c r="B450">
        <v>1</v>
      </c>
      <c r="C450">
        <v>0.5</v>
      </c>
      <c r="D450">
        <v>4.1296340000000002</v>
      </c>
      <c r="E450">
        <v>0.56843421999999999</v>
      </c>
    </row>
    <row r="451" spans="1:5" x14ac:dyDescent="0.25">
      <c r="A451" t="s">
        <v>88</v>
      </c>
      <c r="B451">
        <v>1</v>
      </c>
      <c r="C451">
        <v>0.5</v>
      </c>
      <c r="D451">
        <v>4.4295850000000003</v>
      </c>
      <c r="E451">
        <v>0.57646140000000001</v>
      </c>
    </row>
    <row r="452" spans="1:5" x14ac:dyDescent="0.25">
      <c r="A452" t="s">
        <v>88</v>
      </c>
      <c r="B452">
        <v>1</v>
      </c>
      <c r="C452">
        <v>0.5</v>
      </c>
      <c r="D452">
        <v>4.7295360000000004</v>
      </c>
      <c r="E452">
        <v>0.58460193999999999</v>
      </c>
    </row>
    <row r="453" spans="1:5" x14ac:dyDescent="0.25">
      <c r="A453" t="s">
        <v>88</v>
      </c>
      <c r="B453">
        <v>1</v>
      </c>
      <c r="C453">
        <v>0.5</v>
      </c>
      <c r="D453">
        <v>4.9812760000000003</v>
      </c>
      <c r="E453">
        <v>0.59238352999999999</v>
      </c>
    </row>
    <row r="454" spans="1:5" x14ac:dyDescent="0.25">
      <c r="A454" t="s">
        <v>88</v>
      </c>
      <c r="B454">
        <v>1</v>
      </c>
      <c r="C454">
        <v>0.5</v>
      </c>
      <c r="D454">
        <v>5.3187559999999996</v>
      </c>
      <c r="E454">
        <v>0.59570888</v>
      </c>
    </row>
    <row r="455" spans="1:5" x14ac:dyDescent="0.25">
      <c r="A455" t="s">
        <v>88</v>
      </c>
      <c r="B455">
        <v>1</v>
      </c>
      <c r="C455">
        <v>0.5</v>
      </c>
      <c r="D455">
        <v>5.5759470000000002</v>
      </c>
      <c r="E455">
        <v>0.58752755999999995</v>
      </c>
    </row>
    <row r="456" spans="1:5" x14ac:dyDescent="0.25">
      <c r="A456" t="s">
        <v>88</v>
      </c>
      <c r="B456">
        <v>1</v>
      </c>
      <c r="C456">
        <v>0.5</v>
      </c>
      <c r="D456">
        <v>5.9134589999999996</v>
      </c>
      <c r="E456">
        <v>0.58550458000000005</v>
      </c>
    </row>
    <row r="457" spans="1:5" x14ac:dyDescent="0.25">
      <c r="A457" t="s">
        <v>88</v>
      </c>
      <c r="B457">
        <v>1</v>
      </c>
      <c r="C457">
        <v>1</v>
      </c>
      <c r="D457">
        <v>0.50947799999999999</v>
      </c>
      <c r="E457">
        <v>1.8322419999999999E-2</v>
      </c>
    </row>
    <row r="458" spans="1:5" x14ac:dyDescent="0.25">
      <c r="A458" t="s">
        <v>88</v>
      </c>
      <c r="B458">
        <v>1</v>
      </c>
      <c r="C458">
        <v>1</v>
      </c>
      <c r="D458">
        <v>0.54577600000000004</v>
      </c>
      <c r="E458">
        <v>2.585573E-2</v>
      </c>
    </row>
    <row r="459" spans="1:5" x14ac:dyDescent="0.25">
      <c r="A459" t="s">
        <v>88</v>
      </c>
      <c r="B459">
        <v>1</v>
      </c>
      <c r="C459">
        <v>1</v>
      </c>
      <c r="D459">
        <v>0.61957200000000001</v>
      </c>
      <c r="E459">
        <v>3.6509069999999998E-2</v>
      </c>
    </row>
    <row r="460" spans="1:5" x14ac:dyDescent="0.25">
      <c r="A460" t="s">
        <v>88</v>
      </c>
      <c r="B460">
        <v>1</v>
      </c>
      <c r="C460">
        <v>1</v>
      </c>
      <c r="D460">
        <v>0.68823199999999995</v>
      </c>
      <c r="E460">
        <v>4.8384120000000003E-2</v>
      </c>
    </row>
    <row r="461" spans="1:5" x14ac:dyDescent="0.25">
      <c r="A461" t="s">
        <v>88</v>
      </c>
      <c r="B461">
        <v>1</v>
      </c>
      <c r="C461">
        <v>1</v>
      </c>
      <c r="D461">
        <v>0.78354999999999997</v>
      </c>
      <c r="E461">
        <v>6.6514149999999994E-2</v>
      </c>
    </row>
    <row r="462" spans="1:5" x14ac:dyDescent="0.25">
      <c r="A462" t="s">
        <v>88</v>
      </c>
      <c r="B462">
        <v>1</v>
      </c>
      <c r="C462">
        <v>1</v>
      </c>
      <c r="D462">
        <v>0.88447699999999996</v>
      </c>
      <c r="E462">
        <v>8.5061189999999995E-2</v>
      </c>
    </row>
    <row r="463" spans="1:5" x14ac:dyDescent="0.25">
      <c r="A463" t="s">
        <v>88</v>
      </c>
      <c r="B463">
        <v>1</v>
      </c>
      <c r="C463">
        <v>1</v>
      </c>
      <c r="D463">
        <v>0.98543599999999998</v>
      </c>
      <c r="E463">
        <v>0.10780027</v>
      </c>
    </row>
    <row r="464" spans="1:5" x14ac:dyDescent="0.25">
      <c r="A464" t="s">
        <v>88</v>
      </c>
      <c r="B464">
        <v>1</v>
      </c>
      <c r="C464">
        <v>1</v>
      </c>
      <c r="D464">
        <v>1.155813</v>
      </c>
      <c r="E464">
        <v>0.14571799999999999</v>
      </c>
    </row>
    <row r="465" spans="1:5" x14ac:dyDescent="0.25">
      <c r="A465" t="s">
        <v>88</v>
      </c>
      <c r="B465">
        <v>1</v>
      </c>
      <c r="C465">
        <v>1</v>
      </c>
      <c r="D465">
        <v>1.3637189999999999</v>
      </c>
      <c r="E465">
        <v>0.19532041</v>
      </c>
    </row>
    <row r="466" spans="1:5" x14ac:dyDescent="0.25">
      <c r="A466" t="s">
        <v>88</v>
      </c>
      <c r="B466">
        <v>1</v>
      </c>
      <c r="C466">
        <v>1</v>
      </c>
      <c r="D466">
        <v>1.5825279999999999</v>
      </c>
      <c r="E466">
        <v>0.24801899999999999</v>
      </c>
    </row>
    <row r="467" spans="1:5" x14ac:dyDescent="0.25">
      <c r="A467" t="s">
        <v>88</v>
      </c>
      <c r="B467">
        <v>1</v>
      </c>
      <c r="C467">
        <v>1</v>
      </c>
      <c r="D467">
        <v>1.8014950000000001</v>
      </c>
      <c r="E467">
        <v>0.30100732000000002</v>
      </c>
    </row>
    <row r="468" spans="1:5" x14ac:dyDescent="0.25">
      <c r="A468" t="s">
        <v>88</v>
      </c>
      <c r="B468">
        <v>1</v>
      </c>
      <c r="C468">
        <v>1</v>
      </c>
      <c r="D468">
        <v>2.0419529999999999</v>
      </c>
      <c r="E468">
        <v>0.35889335999999999</v>
      </c>
    </row>
    <row r="469" spans="1:5" x14ac:dyDescent="0.25">
      <c r="A469" t="s">
        <v>88</v>
      </c>
      <c r="B469">
        <v>1</v>
      </c>
      <c r="C469">
        <v>1</v>
      </c>
      <c r="D469">
        <v>2.3361369999999999</v>
      </c>
      <c r="E469">
        <v>0.40934967</v>
      </c>
    </row>
    <row r="470" spans="1:5" x14ac:dyDescent="0.25">
      <c r="A470" t="s">
        <v>88</v>
      </c>
      <c r="B470">
        <v>1</v>
      </c>
      <c r="C470">
        <v>1</v>
      </c>
      <c r="D470">
        <v>2.6946659999999998</v>
      </c>
      <c r="E470">
        <v>0.45901666000000002</v>
      </c>
    </row>
    <row r="471" spans="1:5" x14ac:dyDescent="0.25">
      <c r="A471" t="s">
        <v>88</v>
      </c>
      <c r="B471">
        <v>1</v>
      </c>
      <c r="C471">
        <v>1</v>
      </c>
      <c r="D471">
        <v>2.9462790000000001</v>
      </c>
      <c r="E471">
        <v>0.48226678000000001</v>
      </c>
    </row>
    <row r="472" spans="1:5" x14ac:dyDescent="0.25">
      <c r="A472" t="s">
        <v>88</v>
      </c>
      <c r="B472">
        <v>1</v>
      </c>
      <c r="C472">
        <v>1</v>
      </c>
      <c r="D472">
        <v>3.3210999999999999</v>
      </c>
      <c r="E472">
        <v>0.50773113000000003</v>
      </c>
    </row>
    <row r="473" spans="1:5" x14ac:dyDescent="0.25">
      <c r="A473" t="s">
        <v>88</v>
      </c>
      <c r="B473">
        <v>1</v>
      </c>
      <c r="C473">
        <v>1</v>
      </c>
      <c r="D473">
        <v>3.6103369999999999</v>
      </c>
      <c r="E473">
        <v>0.51480959999999998</v>
      </c>
    </row>
    <row r="474" spans="1:5" x14ac:dyDescent="0.25">
      <c r="A474" t="s">
        <v>88</v>
      </c>
      <c r="B474">
        <v>1</v>
      </c>
      <c r="C474">
        <v>1</v>
      </c>
      <c r="D474">
        <v>3.8192529999999998</v>
      </c>
      <c r="E474">
        <v>0.51659666999999998</v>
      </c>
    </row>
    <row r="475" spans="1:5" x14ac:dyDescent="0.25">
      <c r="A475" t="s">
        <v>88</v>
      </c>
      <c r="B475">
        <v>1</v>
      </c>
      <c r="C475">
        <v>1</v>
      </c>
      <c r="D475">
        <v>4.1567020000000001</v>
      </c>
      <c r="E475">
        <v>0.52421777999999997</v>
      </c>
    </row>
    <row r="476" spans="1:5" x14ac:dyDescent="0.25">
      <c r="A476" t="s">
        <v>88</v>
      </c>
      <c r="B476">
        <v>1</v>
      </c>
      <c r="C476">
        <v>1</v>
      </c>
      <c r="D476">
        <v>4.4084729999999999</v>
      </c>
      <c r="E476">
        <v>0.52641156</v>
      </c>
    </row>
    <row r="477" spans="1:5" x14ac:dyDescent="0.25">
      <c r="A477" t="s">
        <v>88</v>
      </c>
      <c r="B477">
        <v>1</v>
      </c>
      <c r="C477">
        <v>1</v>
      </c>
      <c r="D477">
        <v>4.6869969999999999</v>
      </c>
      <c r="E477">
        <v>0.53365562</v>
      </c>
    </row>
    <row r="478" spans="1:5" x14ac:dyDescent="0.25">
      <c r="A478" t="s">
        <v>88</v>
      </c>
      <c r="B478">
        <v>1</v>
      </c>
      <c r="C478">
        <v>1</v>
      </c>
      <c r="D478">
        <v>4.9387369999999997</v>
      </c>
      <c r="E478">
        <v>0.54075905999999996</v>
      </c>
    </row>
    <row r="479" spans="1:5" x14ac:dyDescent="0.25">
      <c r="A479" t="s">
        <v>88</v>
      </c>
      <c r="B479">
        <v>1</v>
      </c>
      <c r="C479">
        <v>1</v>
      </c>
      <c r="D479">
        <v>5.1422650000000001</v>
      </c>
      <c r="E479">
        <v>0.54751903999999996</v>
      </c>
    </row>
    <row r="480" spans="1:5" x14ac:dyDescent="0.25">
      <c r="A480" t="s">
        <v>88</v>
      </c>
      <c r="B480">
        <v>1</v>
      </c>
      <c r="C480">
        <v>1</v>
      </c>
      <c r="D480">
        <v>5.4744200000000003</v>
      </c>
      <c r="E480">
        <v>0.54558534000000003</v>
      </c>
    </row>
    <row r="481" spans="1:5" x14ac:dyDescent="0.25">
      <c r="A481" t="s">
        <v>88</v>
      </c>
      <c r="B481">
        <v>1</v>
      </c>
      <c r="C481">
        <v>1</v>
      </c>
      <c r="D481">
        <v>5.7744340000000003</v>
      </c>
      <c r="E481">
        <v>0.54336870999999998</v>
      </c>
    </row>
    <row r="482" spans="1:5" x14ac:dyDescent="0.25">
      <c r="A482" t="s">
        <v>88</v>
      </c>
      <c r="B482">
        <v>1</v>
      </c>
      <c r="C482">
        <v>1</v>
      </c>
      <c r="D482">
        <v>5.9191000000000003</v>
      </c>
      <c r="E482">
        <v>0.53976842000000003</v>
      </c>
    </row>
    <row r="483" spans="1:5" x14ac:dyDescent="0.25">
      <c r="A483" t="s">
        <v>88</v>
      </c>
      <c r="B483">
        <v>2.5</v>
      </c>
      <c r="C483">
        <v>0.5</v>
      </c>
      <c r="D483">
        <v>0.51964299999999997</v>
      </c>
      <c r="E483">
        <v>2.8679999999999999E-3</v>
      </c>
    </row>
    <row r="484" spans="1:5" x14ac:dyDescent="0.25">
      <c r="A484" t="s">
        <v>88</v>
      </c>
      <c r="B484">
        <v>2.5</v>
      </c>
      <c r="C484">
        <v>0.5</v>
      </c>
      <c r="D484">
        <v>0.5625</v>
      </c>
      <c r="E484">
        <v>4.3699999999999998E-3</v>
      </c>
    </row>
    <row r="485" spans="1:5" x14ac:dyDescent="0.25">
      <c r="A485" t="s">
        <v>88</v>
      </c>
      <c r="B485">
        <v>2.5</v>
      </c>
      <c r="C485">
        <v>0.5</v>
      </c>
      <c r="D485">
        <v>0.63214300000000001</v>
      </c>
      <c r="E485">
        <v>6.0559999999999998E-3</v>
      </c>
    </row>
    <row r="486" spans="1:5" x14ac:dyDescent="0.25">
      <c r="A486" t="s">
        <v>88</v>
      </c>
      <c r="B486">
        <v>2.5</v>
      </c>
      <c r="C486">
        <v>0.5</v>
      </c>
      <c r="D486">
        <v>0.71250000000000002</v>
      </c>
      <c r="E486">
        <v>8.0669999999999995E-3</v>
      </c>
    </row>
    <row r="487" spans="1:5" x14ac:dyDescent="0.25">
      <c r="A487" t="s">
        <v>88</v>
      </c>
      <c r="B487">
        <v>2.5</v>
      </c>
      <c r="C487">
        <v>0.5</v>
      </c>
      <c r="D487">
        <v>0.82499999999999996</v>
      </c>
      <c r="E487">
        <v>1.1096E-2</v>
      </c>
    </row>
    <row r="488" spans="1:5" x14ac:dyDescent="0.25">
      <c r="A488" t="s">
        <v>88</v>
      </c>
      <c r="B488">
        <v>2.5</v>
      </c>
      <c r="C488">
        <v>0.5</v>
      </c>
      <c r="D488">
        <v>0.96428599999999998</v>
      </c>
      <c r="E488">
        <v>1.4789E-2</v>
      </c>
    </row>
    <row r="489" spans="1:5" x14ac:dyDescent="0.25">
      <c r="A489" t="s">
        <v>88</v>
      </c>
      <c r="B489">
        <v>2.5</v>
      </c>
      <c r="C489">
        <v>0.5</v>
      </c>
      <c r="D489">
        <v>1.1142860000000001</v>
      </c>
      <c r="E489">
        <v>1.9096999999999999E-2</v>
      </c>
    </row>
    <row r="490" spans="1:5" x14ac:dyDescent="0.25">
      <c r="A490" t="s">
        <v>88</v>
      </c>
      <c r="B490">
        <v>2.5</v>
      </c>
      <c r="C490">
        <v>0.5</v>
      </c>
      <c r="D490">
        <v>1.2749999999999999</v>
      </c>
      <c r="E490">
        <v>2.3515999999999999E-2</v>
      </c>
    </row>
    <row r="491" spans="1:5" x14ac:dyDescent="0.25">
      <c r="A491" t="s">
        <v>88</v>
      </c>
      <c r="B491">
        <v>2.5</v>
      </c>
      <c r="C491">
        <v>0.5</v>
      </c>
      <c r="D491">
        <v>1.4785710000000001</v>
      </c>
      <c r="E491">
        <v>2.8969999999999999E-2</v>
      </c>
    </row>
    <row r="492" spans="1:5" x14ac:dyDescent="0.25">
      <c r="A492" t="s">
        <v>88</v>
      </c>
      <c r="B492">
        <v>2.5</v>
      </c>
      <c r="C492">
        <v>0.5</v>
      </c>
      <c r="D492">
        <v>1.7035709999999999</v>
      </c>
      <c r="E492">
        <v>3.4856999999999999E-2</v>
      </c>
    </row>
    <row r="493" spans="1:5" x14ac:dyDescent="0.25">
      <c r="A493" t="s">
        <v>88</v>
      </c>
      <c r="B493">
        <v>2.5</v>
      </c>
      <c r="C493">
        <v>0.5</v>
      </c>
      <c r="D493">
        <v>1.901786</v>
      </c>
      <c r="E493">
        <v>3.9978E-2</v>
      </c>
    </row>
    <row r="494" spans="1:5" x14ac:dyDescent="0.25">
      <c r="A494" t="s">
        <v>88</v>
      </c>
      <c r="B494">
        <v>2.5</v>
      </c>
      <c r="C494">
        <v>0.5</v>
      </c>
      <c r="D494">
        <v>2.1267860000000001</v>
      </c>
      <c r="E494">
        <v>4.5502000000000001E-2</v>
      </c>
    </row>
    <row r="495" spans="1:5" x14ac:dyDescent="0.25">
      <c r="A495" t="s">
        <v>88</v>
      </c>
      <c r="B495">
        <v>2.5</v>
      </c>
      <c r="C495">
        <v>0.5</v>
      </c>
      <c r="D495">
        <v>2.3624999999999998</v>
      </c>
      <c r="E495">
        <v>4.9778999999999997E-2</v>
      </c>
    </row>
    <row r="496" spans="1:5" x14ac:dyDescent="0.25">
      <c r="A496" t="s">
        <v>88</v>
      </c>
      <c r="B496">
        <v>2.5</v>
      </c>
      <c r="C496">
        <v>0.5</v>
      </c>
      <c r="D496">
        <v>2.598214</v>
      </c>
      <c r="E496">
        <v>5.4026999999999999E-2</v>
      </c>
    </row>
    <row r="497" spans="1:5" x14ac:dyDescent="0.25">
      <c r="A497" t="s">
        <v>88</v>
      </c>
      <c r="B497">
        <v>2.5</v>
      </c>
      <c r="C497">
        <v>0.5</v>
      </c>
      <c r="D497">
        <v>2.8982139999999998</v>
      </c>
      <c r="E497">
        <v>5.8678000000000001E-2</v>
      </c>
    </row>
    <row r="498" spans="1:5" x14ac:dyDescent="0.25">
      <c r="A498" t="s">
        <v>88</v>
      </c>
      <c r="B498">
        <v>2.5</v>
      </c>
      <c r="C498">
        <v>0.5</v>
      </c>
      <c r="D498">
        <v>3.1660710000000001</v>
      </c>
      <c r="E498">
        <v>6.2206999999999998E-2</v>
      </c>
    </row>
    <row r="499" spans="1:5" x14ac:dyDescent="0.25">
      <c r="A499" t="s">
        <v>88</v>
      </c>
      <c r="B499">
        <v>2.5</v>
      </c>
      <c r="C499">
        <v>0.5</v>
      </c>
      <c r="D499">
        <v>3.4607139999999998</v>
      </c>
      <c r="E499">
        <v>6.5967999999999999E-2</v>
      </c>
    </row>
    <row r="500" spans="1:5" x14ac:dyDescent="0.25">
      <c r="A500" t="s">
        <v>88</v>
      </c>
      <c r="B500">
        <v>2.5</v>
      </c>
      <c r="C500">
        <v>0.5</v>
      </c>
      <c r="D500">
        <v>3.717857</v>
      </c>
      <c r="E500">
        <v>6.8282999999999996E-2</v>
      </c>
    </row>
    <row r="501" spans="1:5" x14ac:dyDescent="0.25">
      <c r="A501" t="s">
        <v>88</v>
      </c>
      <c r="B501">
        <v>2.5</v>
      </c>
      <c r="C501">
        <v>0.5</v>
      </c>
      <c r="D501">
        <v>3.9482140000000001</v>
      </c>
      <c r="E501">
        <v>7.0098999999999995E-2</v>
      </c>
    </row>
    <row r="502" spans="1:5" x14ac:dyDescent="0.25">
      <c r="A502" t="s">
        <v>88</v>
      </c>
      <c r="B502">
        <v>2.5</v>
      </c>
      <c r="C502">
        <v>0.5</v>
      </c>
      <c r="D502">
        <v>4.2</v>
      </c>
      <c r="E502">
        <v>7.2554999999999994E-2</v>
      </c>
    </row>
    <row r="503" spans="1:5" x14ac:dyDescent="0.25">
      <c r="A503" t="s">
        <v>88</v>
      </c>
      <c r="B503">
        <v>2.5</v>
      </c>
      <c r="C503">
        <v>0.5</v>
      </c>
      <c r="D503">
        <v>4.5214290000000004</v>
      </c>
      <c r="E503">
        <v>7.4556999999999998E-2</v>
      </c>
    </row>
    <row r="504" spans="1:5" x14ac:dyDescent="0.25">
      <c r="A504" t="s">
        <v>88</v>
      </c>
      <c r="B504">
        <v>2.5</v>
      </c>
      <c r="C504">
        <v>0.5</v>
      </c>
      <c r="D504">
        <v>4.7892859999999997</v>
      </c>
      <c r="E504">
        <v>7.5965000000000005E-2</v>
      </c>
    </row>
    <row r="505" spans="1:5" x14ac:dyDescent="0.25">
      <c r="A505" t="s">
        <v>88</v>
      </c>
      <c r="B505">
        <v>2.5</v>
      </c>
      <c r="C505">
        <v>0.5</v>
      </c>
      <c r="D505">
        <v>5.1375000000000002</v>
      </c>
      <c r="E505">
        <v>7.8084000000000001E-2</v>
      </c>
    </row>
    <row r="506" spans="1:5" x14ac:dyDescent="0.25">
      <c r="A506" t="s">
        <v>88</v>
      </c>
      <c r="B506">
        <v>2.5</v>
      </c>
      <c r="C506">
        <v>0.5</v>
      </c>
      <c r="D506">
        <v>5.496429</v>
      </c>
      <c r="E506">
        <v>7.9635999999999998E-2</v>
      </c>
    </row>
    <row r="507" spans="1:5" x14ac:dyDescent="0.25">
      <c r="A507" t="s">
        <v>88</v>
      </c>
      <c r="B507">
        <v>2.5</v>
      </c>
      <c r="C507">
        <v>0.5</v>
      </c>
      <c r="D507">
        <v>5.7267859999999997</v>
      </c>
      <c r="E507">
        <v>7.9829999999999998E-2</v>
      </c>
    </row>
    <row r="508" spans="1:5" x14ac:dyDescent="0.25">
      <c r="A508" t="s">
        <v>88</v>
      </c>
      <c r="B508">
        <v>2.5</v>
      </c>
      <c r="C508">
        <v>0.5</v>
      </c>
      <c r="D508">
        <v>5.941071</v>
      </c>
      <c r="E508">
        <v>8.0012E-2</v>
      </c>
    </row>
    <row r="509" spans="1:5" x14ac:dyDescent="0.25">
      <c r="A509" t="s">
        <v>88</v>
      </c>
      <c r="B509">
        <v>2.5</v>
      </c>
      <c r="C509">
        <v>1</v>
      </c>
      <c r="D509">
        <v>0.51964299999999997</v>
      </c>
      <c r="E509">
        <v>2.8679999999999999E-3</v>
      </c>
    </row>
    <row r="510" spans="1:5" x14ac:dyDescent="0.25">
      <c r="A510" t="s">
        <v>88</v>
      </c>
      <c r="B510">
        <v>2.5</v>
      </c>
      <c r="C510">
        <v>1</v>
      </c>
      <c r="D510">
        <v>0.55714300000000005</v>
      </c>
      <c r="E510">
        <v>4.5110000000000003E-3</v>
      </c>
    </row>
    <row r="511" spans="1:5" x14ac:dyDescent="0.25">
      <c r="A511" t="s">
        <v>88</v>
      </c>
      <c r="B511">
        <v>2.5</v>
      </c>
      <c r="C511">
        <v>1</v>
      </c>
      <c r="D511">
        <v>0.59464300000000003</v>
      </c>
      <c r="E511">
        <v>5.6810000000000003E-3</v>
      </c>
    </row>
    <row r="512" spans="1:5" x14ac:dyDescent="0.25">
      <c r="A512" t="s">
        <v>88</v>
      </c>
      <c r="B512">
        <v>2.5</v>
      </c>
      <c r="C512">
        <v>1</v>
      </c>
      <c r="D512">
        <v>0.63214300000000001</v>
      </c>
      <c r="E512">
        <v>6.9309999999999997E-3</v>
      </c>
    </row>
    <row r="513" spans="1:5" x14ac:dyDescent="0.25">
      <c r="A513" t="s">
        <v>88</v>
      </c>
      <c r="B513">
        <v>2.5</v>
      </c>
      <c r="C513">
        <v>1</v>
      </c>
      <c r="D513">
        <v>0.69107099999999999</v>
      </c>
      <c r="E513">
        <v>8.8009999999999998E-3</v>
      </c>
    </row>
    <row r="514" spans="1:5" x14ac:dyDescent="0.25">
      <c r="A514" t="s">
        <v>88</v>
      </c>
      <c r="B514">
        <v>2.5</v>
      </c>
      <c r="C514">
        <v>1</v>
      </c>
      <c r="D514">
        <v>0.77142900000000003</v>
      </c>
      <c r="E514">
        <v>1.1723000000000001E-2</v>
      </c>
    </row>
    <row r="515" spans="1:5" x14ac:dyDescent="0.25">
      <c r="A515" t="s">
        <v>88</v>
      </c>
      <c r="B515">
        <v>2.5</v>
      </c>
      <c r="C515">
        <v>1</v>
      </c>
      <c r="D515">
        <v>0.87857099999999999</v>
      </c>
      <c r="E515">
        <v>1.5011999999999999E-2</v>
      </c>
    </row>
    <row r="516" spans="1:5" x14ac:dyDescent="0.25">
      <c r="A516" t="s">
        <v>88</v>
      </c>
      <c r="B516">
        <v>2.5</v>
      </c>
      <c r="C516">
        <v>1</v>
      </c>
      <c r="D516">
        <v>0.98035700000000003</v>
      </c>
      <c r="E516">
        <v>1.8474000000000001E-2</v>
      </c>
    </row>
    <row r="517" spans="1:5" x14ac:dyDescent="0.25">
      <c r="A517" t="s">
        <v>88</v>
      </c>
      <c r="B517">
        <v>2.5</v>
      </c>
      <c r="C517">
        <v>1</v>
      </c>
      <c r="D517">
        <v>1.157143</v>
      </c>
      <c r="E517">
        <v>2.5427000000000002E-2</v>
      </c>
    </row>
    <row r="518" spans="1:5" x14ac:dyDescent="0.25">
      <c r="A518" t="s">
        <v>88</v>
      </c>
      <c r="B518">
        <v>2.5</v>
      </c>
      <c r="C518">
        <v>1</v>
      </c>
      <c r="D518">
        <v>1.3232139999999999</v>
      </c>
      <c r="E518">
        <v>3.0818999999999999E-2</v>
      </c>
    </row>
    <row r="519" spans="1:5" x14ac:dyDescent="0.25">
      <c r="A519" t="s">
        <v>88</v>
      </c>
      <c r="B519">
        <v>2.5</v>
      </c>
      <c r="C519">
        <v>1</v>
      </c>
      <c r="D519">
        <v>1.473214</v>
      </c>
      <c r="E519">
        <v>3.6759E-2</v>
      </c>
    </row>
    <row r="520" spans="1:5" x14ac:dyDescent="0.25">
      <c r="A520" t="s">
        <v>88</v>
      </c>
      <c r="B520">
        <v>2.5</v>
      </c>
      <c r="C520">
        <v>1</v>
      </c>
      <c r="D520">
        <v>1.6982139999999999</v>
      </c>
      <c r="E520">
        <v>4.4937999999999999E-2</v>
      </c>
    </row>
    <row r="521" spans="1:5" x14ac:dyDescent="0.25">
      <c r="A521" t="s">
        <v>88</v>
      </c>
      <c r="B521">
        <v>2.5</v>
      </c>
      <c r="C521">
        <v>1</v>
      </c>
      <c r="D521">
        <v>1.9982139999999999</v>
      </c>
      <c r="E521">
        <v>5.5417000000000001E-2</v>
      </c>
    </row>
    <row r="522" spans="1:5" x14ac:dyDescent="0.25">
      <c r="A522" t="s">
        <v>88</v>
      </c>
      <c r="B522">
        <v>2.5</v>
      </c>
      <c r="C522">
        <v>1</v>
      </c>
      <c r="D522">
        <v>2.2660710000000002</v>
      </c>
      <c r="E522">
        <v>6.4624000000000001E-2</v>
      </c>
    </row>
    <row r="523" spans="1:5" x14ac:dyDescent="0.25">
      <c r="A523" t="s">
        <v>88</v>
      </c>
      <c r="B523">
        <v>2.5</v>
      </c>
      <c r="C523">
        <v>1</v>
      </c>
      <c r="D523">
        <v>2.5499999999999998</v>
      </c>
      <c r="E523">
        <v>7.1867E-2</v>
      </c>
    </row>
    <row r="524" spans="1:5" x14ac:dyDescent="0.25">
      <c r="A524" t="s">
        <v>88</v>
      </c>
      <c r="B524">
        <v>2.5</v>
      </c>
      <c r="C524">
        <v>1</v>
      </c>
      <c r="D524">
        <v>2.941071</v>
      </c>
      <c r="E524">
        <v>8.0012E-2</v>
      </c>
    </row>
    <row r="525" spans="1:5" x14ac:dyDescent="0.25">
      <c r="A525" t="s">
        <v>88</v>
      </c>
      <c r="B525">
        <v>2.5</v>
      </c>
      <c r="C525">
        <v>1</v>
      </c>
      <c r="D525">
        <v>3.2357140000000002</v>
      </c>
      <c r="E525">
        <v>8.5525000000000004E-2</v>
      </c>
    </row>
    <row r="526" spans="1:5" x14ac:dyDescent="0.25">
      <c r="A526" t="s">
        <v>88</v>
      </c>
      <c r="B526">
        <v>2.5</v>
      </c>
      <c r="C526">
        <v>1</v>
      </c>
      <c r="D526">
        <v>3.4821430000000002</v>
      </c>
      <c r="E526">
        <v>8.7816000000000005E-2</v>
      </c>
    </row>
    <row r="527" spans="1:5" x14ac:dyDescent="0.25">
      <c r="A527" t="s">
        <v>88</v>
      </c>
      <c r="B527">
        <v>2.5</v>
      </c>
      <c r="C527">
        <v>1</v>
      </c>
      <c r="D527">
        <v>3.7875000000000001</v>
      </c>
      <c r="E527">
        <v>9.2398999999999995E-2</v>
      </c>
    </row>
    <row r="528" spans="1:5" x14ac:dyDescent="0.25">
      <c r="A528" t="s">
        <v>88</v>
      </c>
      <c r="B528">
        <v>2.5</v>
      </c>
      <c r="C528">
        <v>1</v>
      </c>
      <c r="D528">
        <v>4.1785709999999998</v>
      </c>
      <c r="E528">
        <v>9.6539E-2</v>
      </c>
    </row>
    <row r="529" spans="1:5" x14ac:dyDescent="0.25">
      <c r="A529" t="s">
        <v>88</v>
      </c>
      <c r="B529">
        <v>2.5</v>
      </c>
      <c r="C529">
        <v>1</v>
      </c>
      <c r="D529">
        <v>4.5803570000000002</v>
      </c>
      <c r="E529">
        <v>0.10168099999999999</v>
      </c>
    </row>
    <row r="530" spans="1:5" x14ac:dyDescent="0.25">
      <c r="A530" t="s">
        <v>88</v>
      </c>
      <c r="B530">
        <v>2.5</v>
      </c>
      <c r="C530">
        <v>1</v>
      </c>
      <c r="D530">
        <v>5.0250000000000004</v>
      </c>
      <c r="E530">
        <v>0.105458</v>
      </c>
    </row>
    <row r="531" spans="1:5" x14ac:dyDescent="0.25">
      <c r="A531" t="s">
        <v>88</v>
      </c>
      <c r="B531">
        <v>2.5</v>
      </c>
      <c r="C531">
        <v>1</v>
      </c>
      <c r="D531">
        <v>5.2821429999999996</v>
      </c>
      <c r="E531">
        <v>0.10743800000000001</v>
      </c>
    </row>
    <row r="532" spans="1:5" x14ac:dyDescent="0.25">
      <c r="A532" t="s">
        <v>88</v>
      </c>
      <c r="B532">
        <v>2.5</v>
      </c>
      <c r="C532">
        <v>1</v>
      </c>
      <c r="D532">
        <v>5.5392859999999997</v>
      </c>
      <c r="E532">
        <v>0.10859000000000001</v>
      </c>
    </row>
    <row r="533" spans="1:5" x14ac:dyDescent="0.25">
      <c r="A533" t="s">
        <v>88</v>
      </c>
      <c r="B533">
        <v>2.5</v>
      </c>
      <c r="C533">
        <v>1</v>
      </c>
      <c r="D533">
        <v>5.7374999999999998</v>
      </c>
      <c r="E533">
        <v>0.108818</v>
      </c>
    </row>
    <row r="534" spans="1:5" x14ac:dyDescent="0.25">
      <c r="A534" t="s">
        <v>88</v>
      </c>
      <c r="B534">
        <v>2.5</v>
      </c>
      <c r="C534">
        <v>1.5</v>
      </c>
      <c r="D534">
        <v>0.51428600000000002</v>
      </c>
      <c r="E534">
        <v>0.104612</v>
      </c>
    </row>
    <row r="535" spans="1:5" x14ac:dyDescent="0.25">
      <c r="A535" t="s">
        <v>88</v>
      </c>
      <c r="B535">
        <v>2.5</v>
      </c>
      <c r="C535">
        <v>1.5</v>
      </c>
      <c r="D535">
        <v>0.71785699999999997</v>
      </c>
      <c r="E535">
        <v>0.115318</v>
      </c>
    </row>
    <row r="536" spans="1:5" x14ac:dyDescent="0.25">
      <c r="A536" t="s">
        <v>88</v>
      </c>
      <c r="B536">
        <v>2.5</v>
      </c>
      <c r="C536">
        <v>1.5</v>
      </c>
      <c r="D536">
        <v>0.9</v>
      </c>
      <c r="E536">
        <v>0.126085</v>
      </c>
    </row>
    <row r="537" spans="1:5" x14ac:dyDescent="0.25">
      <c r="A537" t="s">
        <v>88</v>
      </c>
      <c r="B537">
        <v>2.5</v>
      </c>
      <c r="C537">
        <v>1.5</v>
      </c>
      <c r="D537">
        <v>1.066071</v>
      </c>
      <c r="E537">
        <v>0.13459099999999999</v>
      </c>
    </row>
    <row r="538" spans="1:5" x14ac:dyDescent="0.25">
      <c r="A538" t="s">
        <v>88</v>
      </c>
      <c r="B538">
        <v>2.5</v>
      </c>
      <c r="C538">
        <v>1.5</v>
      </c>
      <c r="D538">
        <v>1.2749999999999999</v>
      </c>
      <c r="E538">
        <v>0.146035</v>
      </c>
    </row>
    <row r="539" spans="1:5" x14ac:dyDescent="0.25">
      <c r="A539" t="s">
        <v>88</v>
      </c>
      <c r="B539">
        <v>2.5</v>
      </c>
      <c r="C539">
        <v>1.5</v>
      </c>
      <c r="D539">
        <v>1.4785710000000001</v>
      </c>
      <c r="E539">
        <v>0.155948</v>
      </c>
    </row>
    <row r="540" spans="1:5" x14ac:dyDescent="0.25">
      <c r="A540" t="s">
        <v>88</v>
      </c>
      <c r="B540">
        <v>2.5</v>
      </c>
      <c r="C540">
        <v>1.5</v>
      </c>
      <c r="D540">
        <v>1.65</v>
      </c>
      <c r="E540">
        <v>0.163854</v>
      </c>
    </row>
    <row r="541" spans="1:5" x14ac:dyDescent="0.25">
      <c r="A541" t="s">
        <v>88</v>
      </c>
      <c r="B541">
        <v>2.5</v>
      </c>
      <c r="C541">
        <v>1.5</v>
      </c>
      <c r="D541">
        <v>1.8696429999999999</v>
      </c>
      <c r="E541">
        <v>0.175007</v>
      </c>
    </row>
    <row r="542" spans="1:5" x14ac:dyDescent="0.25">
      <c r="A542" t="s">
        <v>88</v>
      </c>
      <c r="B542">
        <v>2.5</v>
      </c>
      <c r="C542">
        <v>1.5</v>
      </c>
      <c r="D542">
        <v>2.0571429999999999</v>
      </c>
      <c r="E542">
        <v>0.18101300000000001</v>
      </c>
    </row>
    <row r="543" spans="1:5" x14ac:dyDescent="0.25">
      <c r="A543" t="s">
        <v>88</v>
      </c>
      <c r="B543">
        <v>2.5</v>
      </c>
      <c r="C543">
        <v>1.5</v>
      </c>
      <c r="D543">
        <v>2.282143</v>
      </c>
      <c r="E543">
        <v>0.19334399999999999</v>
      </c>
    </row>
    <row r="544" spans="1:5" x14ac:dyDescent="0.25">
      <c r="A544" t="s">
        <v>88</v>
      </c>
      <c r="B544">
        <v>2.5</v>
      </c>
      <c r="C544">
        <v>1.5</v>
      </c>
      <c r="D544">
        <v>2.4910709999999998</v>
      </c>
      <c r="E544">
        <v>0.20161899999999999</v>
      </c>
    </row>
    <row r="545" spans="1:5" x14ac:dyDescent="0.25">
      <c r="A545" t="s">
        <v>88</v>
      </c>
      <c r="B545">
        <v>2.5</v>
      </c>
      <c r="C545">
        <v>1.5</v>
      </c>
      <c r="D545">
        <v>2.7267860000000002</v>
      </c>
      <c r="E545">
        <v>0.20699500000000001</v>
      </c>
    </row>
    <row r="546" spans="1:5" x14ac:dyDescent="0.25">
      <c r="A546" t="s">
        <v>88</v>
      </c>
      <c r="B546">
        <v>2.5</v>
      </c>
      <c r="C546">
        <v>1.5</v>
      </c>
      <c r="D546">
        <v>3.0053570000000001</v>
      </c>
      <c r="E546">
        <v>0.214306</v>
      </c>
    </row>
    <row r="547" spans="1:5" x14ac:dyDescent="0.25">
      <c r="A547" t="s">
        <v>88</v>
      </c>
      <c r="B547">
        <v>2.5</v>
      </c>
      <c r="C547">
        <v>1.5</v>
      </c>
      <c r="D547">
        <v>3.214286</v>
      </c>
      <c r="E547">
        <v>0.21995799999999999</v>
      </c>
    </row>
    <row r="548" spans="1:5" x14ac:dyDescent="0.25">
      <c r="A548" t="s">
        <v>88</v>
      </c>
      <c r="B548">
        <v>2.5</v>
      </c>
      <c r="C548">
        <v>1.5</v>
      </c>
      <c r="D548">
        <v>3.4767860000000002</v>
      </c>
      <c r="E548">
        <v>0.227688</v>
      </c>
    </row>
    <row r="549" spans="1:5" x14ac:dyDescent="0.25">
      <c r="A549" t="s">
        <v>88</v>
      </c>
      <c r="B549">
        <v>2.5</v>
      </c>
      <c r="C549">
        <v>1.5</v>
      </c>
      <c r="D549">
        <v>3.723214</v>
      </c>
      <c r="E549">
        <v>0.22828300000000001</v>
      </c>
    </row>
    <row r="550" spans="1:5" x14ac:dyDescent="0.25">
      <c r="A550" t="s">
        <v>88</v>
      </c>
      <c r="B550">
        <v>2.5</v>
      </c>
      <c r="C550">
        <v>1.5</v>
      </c>
      <c r="D550">
        <v>3.9428570000000001</v>
      </c>
      <c r="E550">
        <v>0.23063800000000001</v>
      </c>
    </row>
    <row r="551" spans="1:5" x14ac:dyDescent="0.25">
      <c r="A551" t="s">
        <v>88</v>
      </c>
      <c r="B551">
        <v>2.5</v>
      </c>
      <c r="C551">
        <v>1.5</v>
      </c>
      <c r="D551">
        <v>4.2053570000000002</v>
      </c>
      <c r="E551">
        <v>0.23685500000000001</v>
      </c>
    </row>
    <row r="552" spans="1:5" x14ac:dyDescent="0.25">
      <c r="A552" t="s">
        <v>88</v>
      </c>
      <c r="B552">
        <v>2.5</v>
      </c>
      <c r="C552">
        <v>1.5</v>
      </c>
      <c r="D552">
        <v>4.4196429999999998</v>
      </c>
      <c r="E552">
        <v>0.239285</v>
      </c>
    </row>
    <row r="553" spans="1:5" x14ac:dyDescent="0.25">
      <c r="A553" t="s">
        <v>88</v>
      </c>
      <c r="B553">
        <v>2.5</v>
      </c>
      <c r="C553">
        <v>1.5</v>
      </c>
      <c r="D553">
        <v>4.7035710000000002</v>
      </c>
      <c r="E553">
        <v>0.241919</v>
      </c>
    </row>
    <row r="554" spans="1:5" x14ac:dyDescent="0.25">
      <c r="A554" t="s">
        <v>88</v>
      </c>
      <c r="B554">
        <v>2.5</v>
      </c>
      <c r="C554">
        <v>1.5</v>
      </c>
      <c r="D554">
        <v>4.9124999999999996</v>
      </c>
      <c r="E554">
        <v>0.24438699999999999</v>
      </c>
    </row>
    <row r="555" spans="1:5" x14ac:dyDescent="0.25">
      <c r="A555" t="s">
        <v>88</v>
      </c>
      <c r="B555">
        <v>2.5</v>
      </c>
      <c r="C555">
        <v>1.5</v>
      </c>
      <c r="D555">
        <v>5.2232139999999996</v>
      </c>
      <c r="E555">
        <v>0.24519299999999999</v>
      </c>
    </row>
    <row r="556" spans="1:5" x14ac:dyDescent="0.25">
      <c r="A556" t="s">
        <v>88</v>
      </c>
      <c r="B556">
        <v>2.5</v>
      </c>
      <c r="C556">
        <v>1.5</v>
      </c>
      <c r="D556">
        <v>5.5232140000000003</v>
      </c>
      <c r="E556">
        <v>0.24793299999999999</v>
      </c>
    </row>
    <row r="557" spans="1:5" x14ac:dyDescent="0.25">
      <c r="A557" t="s">
        <v>88</v>
      </c>
      <c r="B557">
        <v>2.5</v>
      </c>
      <c r="C557">
        <v>1.5</v>
      </c>
      <c r="D557">
        <v>5.8446429999999996</v>
      </c>
      <c r="E557">
        <v>0.246811</v>
      </c>
    </row>
    <row r="558" spans="1:5" x14ac:dyDescent="0.25">
      <c r="A558" t="s">
        <v>88</v>
      </c>
      <c r="B558">
        <v>2.5</v>
      </c>
      <c r="C558">
        <v>1.5</v>
      </c>
      <c r="D558">
        <v>5.9678570000000004</v>
      </c>
      <c r="E558">
        <v>0.24910299999999999</v>
      </c>
    </row>
    <row r="559" spans="1:5" x14ac:dyDescent="0.25">
      <c r="A559" t="s">
        <v>88</v>
      </c>
      <c r="B559">
        <v>2.5</v>
      </c>
      <c r="C559">
        <v>2</v>
      </c>
      <c r="D559">
        <v>0.52500000000000002</v>
      </c>
      <c r="E559">
        <v>0.18978</v>
      </c>
    </row>
    <row r="560" spans="1:5" x14ac:dyDescent="0.25">
      <c r="A560" t="s">
        <v>88</v>
      </c>
      <c r="B560">
        <v>2.5</v>
      </c>
      <c r="C560">
        <v>2</v>
      </c>
      <c r="D560">
        <v>0.69107099999999999</v>
      </c>
      <c r="E560">
        <v>0.19781399999999999</v>
      </c>
    </row>
    <row r="561" spans="1:5" x14ac:dyDescent="0.25">
      <c r="A561" t="s">
        <v>88</v>
      </c>
      <c r="B561">
        <v>2.5</v>
      </c>
      <c r="C561">
        <v>2</v>
      </c>
      <c r="D561">
        <v>0.87321400000000005</v>
      </c>
      <c r="E561">
        <v>0.20622199999999999</v>
      </c>
    </row>
    <row r="562" spans="1:5" x14ac:dyDescent="0.25">
      <c r="A562" t="s">
        <v>88</v>
      </c>
      <c r="B562">
        <v>2.5</v>
      </c>
      <c r="C562">
        <v>2</v>
      </c>
      <c r="D562">
        <v>0.98571399999999998</v>
      </c>
      <c r="E562">
        <v>0.20977299999999999</v>
      </c>
    </row>
    <row r="563" spans="1:5" x14ac:dyDescent="0.25">
      <c r="A563" t="s">
        <v>88</v>
      </c>
      <c r="B563">
        <v>2.5</v>
      </c>
      <c r="C563">
        <v>2</v>
      </c>
      <c r="D563">
        <v>1.157143</v>
      </c>
      <c r="E563">
        <v>0.218665</v>
      </c>
    </row>
    <row r="564" spans="1:5" x14ac:dyDescent="0.25">
      <c r="A564" t="s">
        <v>88</v>
      </c>
      <c r="B564">
        <v>2.5</v>
      </c>
      <c r="C564">
        <v>2</v>
      </c>
      <c r="D564">
        <v>1.285714</v>
      </c>
      <c r="E564">
        <v>0.224241</v>
      </c>
    </row>
    <row r="565" spans="1:5" x14ac:dyDescent="0.25">
      <c r="A565" t="s">
        <v>88</v>
      </c>
      <c r="B565">
        <v>2.5</v>
      </c>
      <c r="C565">
        <v>2</v>
      </c>
      <c r="D565">
        <v>1.4624999999999999</v>
      </c>
      <c r="E565">
        <v>0.230076</v>
      </c>
    </row>
    <row r="566" spans="1:5" x14ac:dyDescent="0.25">
      <c r="A566" t="s">
        <v>88</v>
      </c>
      <c r="B566">
        <v>2.5</v>
      </c>
      <c r="C566">
        <v>2</v>
      </c>
      <c r="D566">
        <v>1.639286</v>
      </c>
      <c r="E566">
        <v>0.23794599999999999</v>
      </c>
    </row>
    <row r="567" spans="1:5" x14ac:dyDescent="0.25">
      <c r="A567" t="s">
        <v>88</v>
      </c>
      <c r="B567">
        <v>2.5</v>
      </c>
      <c r="C567">
        <v>2</v>
      </c>
      <c r="D567">
        <v>1.816071</v>
      </c>
      <c r="E567">
        <v>0.24804599999999999</v>
      </c>
    </row>
    <row r="568" spans="1:5" x14ac:dyDescent="0.25">
      <c r="A568" t="s">
        <v>88</v>
      </c>
      <c r="B568">
        <v>2.5</v>
      </c>
      <c r="C568">
        <v>2</v>
      </c>
      <c r="D568">
        <v>2.1107140000000002</v>
      </c>
      <c r="E568">
        <v>0.25685000000000002</v>
      </c>
    </row>
    <row r="569" spans="1:5" x14ac:dyDescent="0.25">
      <c r="A569" t="s">
        <v>88</v>
      </c>
      <c r="B569">
        <v>2.5</v>
      </c>
      <c r="C569">
        <v>2</v>
      </c>
      <c r="D569">
        <v>2.3464290000000001</v>
      </c>
      <c r="E569">
        <v>0.26580100000000001</v>
      </c>
    </row>
    <row r="570" spans="1:5" x14ac:dyDescent="0.25">
      <c r="A570" t="s">
        <v>88</v>
      </c>
      <c r="B570">
        <v>2.5</v>
      </c>
      <c r="C570">
        <v>2</v>
      </c>
      <c r="D570">
        <v>2.5339290000000001</v>
      </c>
      <c r="E570">
        <v>0.27274900000000002</v>
      </c>
    </row>
    <row r="571" spans="1:5" x14ac:dyDescent="0.25">
      <c r="A571" t="s">
        <v>88</v>
      </c>
      <c r="B571">
        <v>2.5</v>
      </c>
      <c r="C571">
        <v>2</v>
      </c>
      <c r="D571">
        <v>2.7749999999999999</v>
      </c>
      <c r="E571">
        <v>0.28003800000000001</v>
      </c>
    </row>
    <row r="572" spans="1:5" x14ac:dyDescent="0.25">
      <c r="A572" t="s">
        <v>88</v>
      </c>
      <c r="B572">
        <v>2.5</v>
      </c>
      <c r="C572">
        <v>2</v>
      </c>
      <c r="D572">
        <v>2.9464290000000002</v>
      </c>
      <c r="E572">
        <v>0.28278300000000001</v>
      </c>
    </row>
    <row r="573" spans="1:5" x14ac:dyDescent="0.25">
      <c r="A573" t="s">
        <v>88</v>
      </c>
      <c r="B573">
        <v>2.5</v>
      </c>
      <c r="C573">
        <v>2</v>
      </c>
      <c r="D573">
        <v>3.1392859999999998</v>
      </c>
      <c r="E573">
        <v>0.28561999999999999</v>
      </c>
    </row>
    <row r="574" spans="1:5" x14ac:dyDescent="0.25">
      <c r="A574" t="s">
        <v>88</v>
      </c>
      <c r="B574">
        <v>2.5</v>
      </c>
      <c r="C574">
        <v>2</v>
      </c>
      <c r="D574">
        <v>3.3696429999999999</v>
      </c>
      <c r="E574">
        <v>0.29089999999999999</v>
      </c>
    </row>
    <row r="575" spans="1:5" x14ac:dyDescent="0.25">
      <c r="A575" t="s">
        <v>88</v>
      </c>
      <c r="B575">
        <v>2.5</v>
      </c>
      <c r="C575">
        <v>2</v>
      </c>
      <c r="D575">
        <v>3.6696430000000002</v>
      </c>
      <c r="E575">
        <v>0.29649700000000001</v>
      </c>
    </row>
    <row r="576" spans="1:5" x14ac:dyDescent="0.25">
      <c r="A576" t="s">
        <v>88</v>
      </c>
      <c r="B576">
        <v>2.5</v>
      </c>
      <c r="C576">
        <v>2</v>
      </c>
      <c r="D576">
        <v>3.910714</v>
      </c>
      <c r="E576">
        <v>0.302012</v>
      </c>
    </row>
    <row r="577" spans="1:5" x14ac:dyDescent="0.25">
      <c r="A577" t="s">
        <v>88</v>
      </c>
      <c r="B577">
        <v>2.5</v>
      </c>
      <c r="C577">
        <v>2</v>
      </c>
      <c r="D577">
        <v>4.1464290000000004</v>
      </c>
      <c r="E577">
        <v>0.30518000000000001</v>
      </c>
    </row>
    <row r="578" spans="1:5" x14ac:dyDescent="0.25">
      <c r="A578" t="s">
        <v>88</v>
      </c>
      <c r="B578">
        <v>2.5</v>
      </c>
      <c r="C578">
        <v>2</v>
      </c>
      <c r="D578">
        <v>4.4464290000000002</v>
      </c>
      <c r="E578">
        <v>0.30615100000000001</v>
      </c>
    </row>
    <row r="579" spans="1:5" x14ac:dyDescent="0.25">
      <c r="A579" t="s">
        <v>88</v>
      </c>
      <c r="B579">
        <v>2.5</v>
      </c>
      <c r="C579">
        <v>2</v>
      </c>
      <c r="D579">
        <v>4.9178569999999997</v>
      </c>
      <c r="E579">
        <v>0.312608</v>
      </c>
    </row>
    <row r="580" spans="1:5" x14ac:dyDescent="0.25">
      <c r="A580" t="s">
        <v>88</v>
      </c>
      <c r="B580">
        <v>2.5</v>
      </c>
      <c r="C580">
        <v>2</v>
      </c>
      <c r="D580">
        <v>5.4428570000000001</v>
      </c>
      <c r="E580">
        <v>0.31685600000000003</v>
      </c>
    </row>
    <row r="581" spans="1:5" x14ac:dyDescent="0.25">
      <c r="A581" t="s">
        <v>88</v>
      </c>
      <c r="B581">
        <v>2.5</v>
      </c>
      <c r="C581">
        <v>2</v>
      </c>
      <c r="D581">
        <v>5.7374999999999998</v>
      </c>
      <c r="E581">
        <v>0.315332</v>
      </c>
    </row>
    <row r="582" spans="1:5" x14ac:dyDescent="0.25">
      <c r="A582" t="s">
        <v>89</v>
      </c>
      <c r="B582">
        <v>0</v>
      </c>
      <c r="C582">
        <v>0</v>
      </c>
      <c r="D582">
        <v>0</v>
      </c>
      <c r="E582">
        <v>0</v>
      </c>
    </row>
    <row r="583" spans="1:5" x14ac:dyDescent="0.25">
      <c r="A583" t="s">
        <v>89</v>
      </c>
      <c r="B583">
        <v>0</v>
      </c>
      <c r="C583">
        <v>0</v>
      </c>
      <c r="D583">
        <v>4.1759999999999999E-2</v>
      </c>
      <c r="E583">
        <v>7.5095999999999996E-2</v>
      </c>
    </row>
    <row r="584" spans="1:5" x14ac:dyDescent="0.25">
      <c r="A584" t="s">
        <v>89</v>
      </c>
      <c r="B584">
        <v>0</v>
      </c>
      <c r="C584">
        <v>0</v>
      </c>
      <c r="D584">
        <v>0.178152</v>
      </c>
      <c r="E584">
        <v>0.38377</v>
      </c>
    </row>
    <row r="585" spans="1:5" x14ac:dyDescent="0.25">
      <c r="A585" t="s">
        <v>89</v>
      </c>
      <c r="B585">
        <v>0</v>
      </c>
      <c r="C585">
        <v>0</v>
      </c>
      <c r="D585">
        <v>0.30396899999999999</v>
      </c>
      <c r="E585">
        <v>0.65908500000000003</v>
      </c>
    </row>
    <row r="586" spans="1:5" x14ac:dyDescent="0.25">
      <c r="A586" t="s">
        <v>89</v>
      </c>
      <c r="B586">
        <v>0</v>
      </c>
      <c r="C586">
        <v>0</v>
      </c>
      <c r="D586">
        <v>0.40831600000000001</v>
      </c>
      <c r="E586">
        <v>0.830179</v>
      </c>
    </row>
    <row r="587" spans="1:5" x14ac:dyDescent="0.25">
      <c r="A587" t="s">
        <v>89</v>
      </c>
      <c r="B587">
        <v>0</v>
      </c>
      <c r="C587">
        <v>0</v>
      </c>
      <c r="D587">
        <v>0.52280899999999997</v>
      </c>
      <c r="E587">
        <v>0.98463199999999995</v>
      </c>
    </row>
    <row r="588" spans="1:5" x14ac:dyDescent="0.25">
      <c r="A588" t="s">
        <v>89</v>
      </c>
      <c r="B588">
        <v>0</v>
      </c>
      <c r="C588">
        <v>0</v>
      </c>
      <c r="D588">
        <v>0.73028999999999999</v>
      </c>
      <c r="E588">
        <v>1.1851510000000001</v>
      </c>
    </row>
    <row r="589" spans="1:5" x14ac:dyDescent="0.25">
      <c r="A589" t="s">
        <v>89</v>
      </c>
      <c r="B589">
        <v>0</v>
      </c>
      <c r="C589">
        <v>0</v>
      </c>
      <c r="D589">
        <v>0.93723400000000001</v>
      </c>
      <c r="E589">
        <v>1.3231679999999999</v>
      </c>
    </row>
    <row r="590" spans="1:5" x14ac:dyDescent="0.25">
      <c r="A590" t="s">
        <v>89</v>
      </c>
      <c r="B590">
        <v>0</v>
      </c>
      <c r="C590">
        <v>0</v>
      </c>
      <c r="D590">
        <v>1.0817349999999999</v>
      </c>
      <c r="E590">
        <v>1.377696</v>
      </c>
    </row>
    <row r="591" spans="1:5" x14ac:dyDescent="0.25">
      <c r="A591" t="s">
        <v>89</v>
      </c>
      <c r="B591">
        <v>0</v>
      </c>
      <c r="C591">
        <v>0</v>
      </c>
      <c r="D591">
        <v>1.2776050000000001</v>
      </c>
      <c r="E591">
        <v>1.4240189999999999</v>
      </c>
    </row>
    <row r="592" spans="1:5" x14ac:dyDescent="0.25">
      <c r="A592" t="s">
        <v>89</v>
      </c>
      <c r="B592">
        <v>0</v>
      </c>
      <c r="C592">
        <v>0</v>
      </c>
      <c r="D592">
        <v>1.607116</v>
      </c>
      <c r="E592">
        <v>1.4581759999999999</v>
      </c>
    </row>
    <row r="593" spans="1:5" x14ac:dyDescent="0.25">
      <c r="A593" t="s">
        <v>89</v>
      </c>
      <c r="B593">
        <v>0</v>
      </c>
      <c r="C593">
        <v>0</v>
      </c>
      <c r="D593">
        <v>1.9467719999999999</v>
      </c>
      <c r="E593">
        <v>1.475692</v>
      </c>
    </row>
    <row r="594" spans="1:5" x14ac:dyDescent="0.25">
      <c r="A594" t="s">
        <v>89</v>
      </c>
      <c r="B594">
        <v>0</v>
      </c>
      <c r="C594">
        <v>0</v>
      </c>
      <c r="D594">
        <v>2.4303219999999999</v>
      </c>
      <c r="E594">
        <v>1.476901</v>
      </c>
    </row>
    <row r="595" spans="1:5" x14ac:dyDescent="0.25">
      <c r="A595" t="s">
        <v>89</v>
      </c>
      <c r="B595">
        <v>0</v>
      </c>
      <c r="C595">
        <v>0</v>
      </c>
      <c r="D595">
        <v>2.9241239999999999</v>
      </c>
      <c r="E595">
        <v>1.4739679999999999</v>
      </c>
    </row>
    <row r="596" spans="1:5" x14ac:dyDescent="0.25">
      <c r="A596" t="s">
        <v>89</v>
      </c>
      <c r="B596">
        <v>0</v>
      </c>
      <c r="C596">
        <v>0</v>
      </c>
      <c r="D596">
        <v>3.3767010000000002</v>
      </c>
      <c r="E596">
        <v>1.4625999999999999</v>
      </c>
    </row>
    <row r="597" spans="1:5" x14ac:dyDescent="0.25">
      <c r="A597" t="s">
        <v>89</v>
      </c>
      <c r="B597">
        <v>0</v>
      </c>
      <c r="C597">
        <v>0</v>
      </c>
      <c r="D597">
        <v>3.74708</v>
      </c>
      <c r="E597">
        <v>1.4635260000000001</v>
      </c>
    </row>
    <row r="598" spans="1:5" x14ac:dyDescent="0.25">
      <c r="A598" t="s">
        <v>89</v>
      </c>
      <c r="B598">
        <v>0</v>
      </c>
      <c r="C598">
        <v>0</v>
      </c>
      <c r="D598">
        <v>4.2204119999999996</v>
      </c>
      <c r="E598">
        <v>1.4730430000000001</v>
      </c>
    </row>
    <row r="599" spans="1:5" x14ac:dyDescent="0.25">
      <c r="A599" t="s">
        <v>89</v>
      </c>
      <c r="B599">
        <v>0</v>
      </c>
      <c r="C599">
        <v>0</v>
      </c>
      <c r="D599">
        <v>4.8994390000000001</v>
      </c>
      <c r="E599">
        <v>1.4747399999999999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24</vt:i4>
      </vt:variant>
    </vt:vector>
  </HeadingPairs>
  <TitlesOfParts>
    <vt:vector size="38" baseType="lpstr">
      <vt:lpstr>Credits</vt:lpstr>
      <vt:lpstr>DATI_INPUT</vt:lpstr>
      <vt:lpstr>ANALISI</vt:lpstr>
      <vt:lpstr>Abaco_Efficienza_n1</vt:lpstr>
      <vt:lpstr>Abaco_Efficienza_n1,5</vt:lpstr>
      <vt:lpstr>Abaco_Efficienza_n2,5</vt:lpstr>
      <vt:lpstr>Abaco_Efficienza_n4</vt:lpstr>
      <vt:lpstr>Abaco_Tempi_T50-n1</vt:lpstr>
      <vt:lpstr>Abaco_Tempi_T90-n1</vt:lpstr>
      <vt:lpstr>Abaco_Tempi_T50-n2,5</vt:lpstr>
      <vt:lpstr>Abaco_Tempi_T90-n2,5</vt:lpstr>
      <vt:lpstr>Abaco_Portata</vt:lpstr>
      <vt:lpstr>Confront_Tempi_T50-n2,5 (2)</vt:lpstr>
      <vt:lpstr>DB_Abachi</vt:lpstr>
      <vt:lpstr>ANALISI!Area_stampa</vt:lpstr>
      <vt:lpstr>Credits!Area_stampa</vt:lpstr>
      <vt:lpstr>DATI_INPUT!Area_stampa</vt:lpstr>
      <vt:lpstr>beta</vt:lpstr>
      <vt:lpstr>c_eff</vt:lpstr>
      <vt:lpstr>d_cfg</vt:lpstr>
      <vt:lpstr>D_piano</vt:lpstr>
      <vt:lpstr>dw_dry</vt:lpstr>
      <vt:lpstr>dw_init</vt:lpstr>
      <vt:lpstr>dw_sat</vt:lpstr>
      <vt:lpstr>Emod</vt:lpstr>
      <vt:lpstr>F_short</vt:lpstr>
      <vt:lpstr>F_target</vt:lpstr>
      <vt:lpstr>gamma</vt:lpstr>
      <vt:lpstr>gammaw</vt:lpstr>
      <vt:lpstr>H0</vt:lpstr>
      <vt:lpstr>kh</vt:lpstr>
      <vt:lpstr>kv</vt:lpstr>
      <vt:lpstr>mesi_target</vt:lpstr>
      <vt:lpstr>n_cfg</vt:lpstr>
      <vt:lpstr>n_tempi</vt:lpstr>
      <vt:lpstr>nu</vt:lpstr>
      <vt:lpstr>phi_eff</vt:lpstr>
      <vt:lpstr>T50_target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1</cp:revision>
  <cp:lastPrinted>2026-07-01T10:07:05Z</cp:lastPrinted>
  <dcterms:created xsi:type="dcterms:W3CDTF">2026-06-23T09:55:55Z</dcterms:created>
  <dcterms:modified xsi:type="dcterms:W3CDTF">2026-07-01T10:52:47Z</dcterms:modified>
  <dc:language>en-US</dc:language>
</cp:coreProperties>
</file>