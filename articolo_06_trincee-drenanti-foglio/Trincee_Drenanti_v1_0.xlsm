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FACA72C5-A7B5-4593-B9E2-6203E5EFAEBB}" xr6:coauthVersionLast="47" xr6:coauthVersionMax="47" xr10:uidLastSave="{00000000-0000-0000-0000-000000000000}"/>
  <bookViews>
    <workbookView xWindow="-120" yWindow="-120" windowWidth="29040" windowHeight="15720" activeTab="2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0" i="3" l="1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B5" i="14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E5" i="13" a="1"/>
  <c r="B5" i="13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E5" i="8" l="1"/>
  <c r="B5" i="8"/>
  <c r="H5" i="10"/>
  <c r="E5" i="10"/>
  <c r="B5" i="10"/>
  <c r="E5" i="11"/>
  <c r="K5" i="12"/>
  <c r="H5" i="12"/>
  <c r="E5" i="12"/>
  <c r="B5" i="12"/>
  <c r="E5" i="13"/>
  <c r="B5" i="13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B5" i="14"/>
  <c r="C68" i="3"/>
  <c r="E9" i="10" a="1"/>
  <c r="B24" i="13" a="1"/>
  <c r="H12" i="12" a="1"/>
  <c r="B26" i="15" a="1"/>
  <c r="H14" i="11" a="1"/>
  <c r="K6" i="11" a="1"/>
  <c r="B29" i="12" a="1"/>
  <c r="B10" i="14" a="1"/>
  <c r="B13" i="14" a="1"/>
  <c r="E14" i="12" a="1"/>
  <c r="E23" i="13" a="1"/>
  <c r="E10" i="13" a="1"/>
  <c r="K11" i="11" a="1"/>
  <c r="K13" i="16" a="1"/>
  <c r="B14" i="15" a="1"/>
  <c r="E22" i="13" a="1"/>
  <c r="B12" i="14" a="1"/>
  <c r="E9" i="13" a="1"/>
  <c r="B23" i="14" a="1"/>
  <c r="E18" i="13" a="1"/>
  <c r="H13" i="11" a="1"/>
  <c r="E7" i="13" a="1"/>
  <c r="B20" i="11" a="1"/>
  <c r="E27" i="14" a="1"/>
  <c r="B13" i="13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E10" i="14" a="1"/>
  <c r="K7" i="12" a="1"/>
  <c r="E17" i="12" a="1"/>
  <c r="E19" i="12" a="1"/>
  <c r="K13" i="12" a="1"/>
  <c r="E28" i="14" a="1"/>
  <c r="B7" i="12" a="1"/>
  <c r="E21" i="13" a="1"/>
  <c r="E14" i="13" a="1"/>
  <c r="B8" i="12" a="1"/>
  <c r="B15" i="8" a="1"/>
  <c r="H16" i="12" a="1"/>
  <c r="H10" i="11" a="1"/>
  <c r="H9" i="10" a="1"/>
  <c r="K14" i="12" a="1"/>
  <c r="H15" i="12" a="1"/>
  <c r="B26" i="11" a="1"/>
  <c r="B20" i="13" a="1"/>
  <c r="B13" i="7"/>
  <c r="H6" i="11" a="1"/>
  <c r="H17" i="10" a="1"/>
  <c r="E22" i="14" a="1"/>
  <c r="B26" i="12" a="1"/>
  <c r="B23" i="15" a="1"/>
  <c r="E12" i="14" a="1"/>
  <c r="B26" i="13" a="1"/>
  <c r="B16" i="13" a="1"/>
  <c r="B15" i="7"/>
  <c r="E8" i="12" a="1"/>
  <c r="E27" i="13" a="1"/>
  <c r="B19" i="8" a="1"/>
  <c r="B16" i="14" a="1"/>
  <c r="H22" i="12" a="1"/>
  <c r="K14" i="11" a="1"/>
  <c r="K24" i="12" a="1"/>
  <c r="B20" i="12" a="1"/>
  <c r="H12" i="11" a="1"/>
  <c r="E6" i="12" a="1"/>
  <c r="B16" i="7"/>
  <c r="E13" i="14" a="1"/>
  <c r="B28" i="14" a="1"/>
  <c r="E11" i="13" a="1"/>
  <c r="E28" i="13" a="1"/>
  <c r="H7" i="11" a="1"/>
  <c r="B9" i="15" a="1"/>
  <c r="B21" i="14" a="1"/>
  <c r="E10" i="10" a="1"/>
  <c r="B24" i="8" a="1"/>
  <c r="K18" i="12" a="1"/>
  <c r="B18" i="15" a="1"/>
  <c r="B6" i="14" a="1"/>
  <c r="B23" i="12" a="1"/>
  <c r="H10" i="12" a="1"/>
  <c r="E6" i="14" a="1"/>
  <c r="B20" i="8" a="1"/>
  <c r="K7" i="11" a="1"/>
  <c r="E16" i="8" a="1"/>
  <c r="H8" i="10" a="1"/>
  <c r="E23" i="8" a="1"/>
  <c r="B31" i="14" a="1"/>
  <c r="B29" i="15" a="1"/>
  <c r="E14" i="14" a="1"/>
  <c r="E16" i="11" a="1"/>
  <c r="E15" i="12" a="1"/>
  <c r="E9" i="14" a="1"/>
  <c r="B27" i="14" a="1"/>
  <c r="B21" i="11" a="1"/>
  <c r="B6" i="11" a="1"/>
  <c r="H17" i="16" a="1"/>
  <c r="E16" i="13" a="1"/>
  <c r="E12" i="11" a="1"/>
  <c r="E13" i="10" a="1"/>
  <c r="B25" i="8" a="1"/>
  <c r="E26" i="13" a="1"/>
  <c r="E29" i="14" a="1"/>
  <c r="E11" i="12" a="1"/>
  <c r="B9" i="11" a="1"/>
  <c r="E5" i="14" a="1"/>
  <c r="E21" i="11" a="1"/>
  <c r="B5" i="7"/>
  <c r="E12" i="12" a="1"/>
  <c r="K13" i="11" a="1"/>
  <c r="E16" i="10" a="1"/>
  <c r="B25" i="13" a="1"/>
  <c r="B9" i="12" a="1"/>
  <c r="B17" i="13" a="1"/>
  <c r="H21" i="12" a="1"/>
  <c r="E17" i="8" a="1"/>
  <c r="H15" i="11" a="1"/>
  <c r="H18" i="11" a="1"/>
  <c r="E23" i="14" a="1"/>
  <c r="B28" i="11" a="1"/>
  <c r="B7" i="14" a="1"/>
  <c r="H28" i="16" a="1"/>
  <c r="H24" i="10" a="1"/>
  <c r="K23" i="12" a="1"/>
  <c r="K8" i="12" a="1"/>
  <c r="H23" i="16" a="1"/>
  <c r="K12" i="12" a="1"/>
  <c r="B16" i="12" a="1"/>
  <c r="B22" i="11" a="1"/>
  <c r="E19" i="8" a="1"/>
  <c r="B6" i="13" a="1"/>
  <c r="B19" i="11" a="1"/>
  <c r="H21" i="16" a="1"/>
  <c r="E11" i="8" a="1"/>
  <c r="B22" i="13" a="1"/>
  <c r="B17" i="11" a="1"/>
  <c r="K17" i="11" a="1"/>
  <c r="H24" i="12" a="1"/>
  <c r="B12" i="11" a="1"/>
  <c r="B11" i="13" a="1"/>
  <c r="E19" i="11" a="1"/>
  <c r="B23" i="13" a="1"/>
  <c r="K23" i="16" a="1"/>
  <c r="E9" i="8" a="1"/>
  <c r="K24" i="16" a="1"/>
  <c r="E11" i="10" a="1"/>
  <c r="H18" i="10" a="1"/>
  <c r="E10" i="8" a="1"/>
  <c r="H19" i="11" a="1"/>
  <c r="B7" i="10" a="1"/>
  <c r="K20" i="16" a="1"/>
  <c r="B17" i="14" a="1"/>
  <c r="E25" i="12" a="1"/>
  <c r="K6" i="12" a="1"/>
  <c r="E28" i="16" a="1"/>
  <c r="B6" i="10" a="1"/>
  <c r="B7" i="8" a="1"/>
  <c r="B22" i="8" a="1"/>
  <c r="E16" i="12" a="1"/>
  <c r="H22" i="11" a="1"/>
  <c r="E16" i="14" a="1"/>
  <c r="B26" i="10" a="1"/>
  <c r="E15" i="11" a="1"/>
  <c r="E23" i="11" a="1"/>
  <c r="K16" i="11" a="1"/>
  <c r="E20" i="11" a="1"/>
  <c r="B8" i="7"/>
  <c r="B18" i="11" a="1"/>
  <c r="H7" i="16" a="1"/>
  <c r="E18" i="8" a="1"/>
  <c r="E29" i="13" a="1"/>
  <c r="B16" i="11" a="1"/>
  <c r="B10" i="15" a="1"/>
  <c r="K7" i="16" a="1"/>
  <c r="K20" i="11" a="1"/>
  <c r="B16" i="10" a="1"/>
  <c r="H15" i="10" a="1"/>
  <c r="K17" i="16" a="1"/>
  <c r="E10" i="11" a="1"/>
  <c r="B25" i="12" a="1"/>
  <c r="E20" i="13" a="1"/>
  <c r="E24" i="13" a="1"/>
  <c r="K19" i="11" a="1"/>
  <c r="B24" i="10" a="1"/>
  <c r="E12" i="13" a="1"/>
  <c r="B11" i="7"/>
  <c r="K26" i="12" a="1"/>
  <c r="B23" i="11" a="1"/>
  <c r="B22" i="14" a="1"/>
  <c r="H25" i="16" a="1"/>
  <c r="B29" i="8" a="1"/>
  <c r="E17" i="13" a="1"/>
  <c r="B14" i="14" a="1"/>
  <c r="H19" i="10" a="1"/>
  <c r="E21" i="10" a="1"/>
  <c r="B21" i="8" a="1"/>
  <c r="H25" i="12" a="1"/>
  <c r="H6" i="10" a="1"/>
  <c r="K11" i="12" a="1"/>
  <c r="E8" i="10" a="1"/>
  <c r="H18" i="16" a="1"/>
  <c r="E23" i="12" a="1"/>
  <c r="B27" i="13" a="1"/>
  <c r="E6" i="10" a="1"/>
  <c r="K20" i="12" a="1"/>
  <c r="B20" i="10" a="1"/>
  <c r="B25" i="10" a="1"/>
  <c r="H29" i="16" a="1"/>
  <c r="B8" i="8" a="1"/>
  <c r="B18" i="13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20" i="14" a="1"/>
  <c r="B10" i="11" a="1"/>
  <c r="K10" i="16" a="1"/>
  <c r="B10" i="10" a="1"/>
  <c r="B19" i="14" a="1"/>
  <c r="K16" i="12" a="1"/>
  <c r="B17" i="10" a="1"/>
  <c r="E17" i="10" a="1"/>
  <c r="E26" i="16" a="1"/>
  <c r="E14" i="8" a="1"/>
  <c r="E7" i="14" a="1"/>
  <c r="B25" i="14" a="1"/>
  <c r="K19" i="16" a="1"/>
  <c r="E6" i="8" a="1"/>
  <c r="B16" i="8" a="1"/>
  <c r="B17" i="8" a="1"/>
  <c r="B9" i="13" a="1"/>
  <c r="K22" i="11" a="1"/>
  <c r="B19" i="13" a="1"/>
  <c r="K12" i="11" a="1"/>
  <c r="B25" i="11" a="1"/>
  <c r="H10" i="16" a="1"/>
  <c r="B30" i="8" a="1"/>
  <c r="B26" i="14" a="1"/>
  <c r="E15" i="8" a="1"/>
  <c r="H20" i="12" a="1"/>
  <c r="B14" i="12" a="1"/>
  <c r="B8" i="13" a="1"/>
  <c r="B11" i="15" a="1"/>
  <c r="H24" i="16" a="1"/>
  <c r="B22" i="10" a="1"/>
  <c r="B27" i="10" a="1"/>
  <c r="E22" i="12" a="1"/>
  <c r="B7" i="13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E18" i="14" a="1"/>
  <c r="K12" i="16" a="1"/>
  <c r="H8" i="12" a="1"/>
  <c r="B14" i="8" a="1"/>
  <c r="E15" i="10" a="1"/>
  <c r="E20" i="12" a="1"/>
  <c r="H26" i="16" a="1"/>
  <c r="B8" i="14" a="1"/>
  <c r="E6" i="11" a="1"/>
  <c r="B28" i="12" a="1"/>
  <c r="K16" i="16" a="1"/>
  <c r="H11" i="10" a="1"/>
  <c r="E8" i="14" a="1"/>
  <c r="B8" i="11" a="1"/>
  <c r="E13" i="13" a="1"/>
  <c r="H21" i="11" a="1"/>
  <c r="B10" i="13" a="1"/>
  <c r="B12" i="7"/>
  <c r="H5" i="11" a="1"/>
  <c r="H25" i="10" a="1"/>
  <c r="H19" i="12" a="1"/>
  <c r="B31" i="15" a="1"/>
  <c r="H22" i="16" a="1"/>
  <c r="E12" i="8" a="1"/>
  <c r="E19" i="13" a="1"/>
  <c r="E11" i="11" a="1"/>
  <c r="K25" i="12" a="1"/>
  <c r="B23" i="10" a="1"/>
  <c r="B25" i="15" a="1"/>
  <c r="B15" i="13" a="1"/>
  <c r="H6" i="12" a="1"/>
  <c r="K10" i="11" a="1"/>
  <c r="B13" i="15" a="1"/>
  <c r="B29" i="14" a="1"/>
  <c r="B24" i="14" a="1"/>
  <c r="B19" i="15" a="1"/>
  <c r="E9" i="12" a="1"/>
  <c r="B9" i="14" a="1"/>
  <c r="H19" i="16" a="1"/>
  <c r="E27" i="12" a="1"/>
  <c r="H9" i="16" a="1"/>
  <c r="B19" i="10" a="1"/>
  <c r="E26" i="14" a="1"/>
  <c r="E17" i="14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B14" i="13" a="1"/>
  <c r="H14" i="12" a="1"/>
  <c r="E15" i="13" a="1"/>
  <c r="H20" i="10" a="1"/>
  <c r="B12" i="15" a="1"/>
  <c r="B8" i="10" a="1"/>
  <c r="H14" i="10" a="1"/>
  <c r="B22" i="15" a="1"/>
  <c r="E8" i="8" a="1"/>
  <c r="E24" i="14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E6" i="13" a="1"/>
  <c r="H12" i="16" a="1"/>
  <c r="E20" i="10" a="1"/>
  <c r="B11" i="14" a="1"/>
  <c r="E10" i="16" a="1"/>
  <c r="E25" i="14" a="1"/>
  <c r="E14" i="11" a="1"/>
  <c r="K11" i="16" a="1"/>
  <c r="E15" i="14" a="1"/>
  <c r="E28" i="12" a="1"/>
  <c r="B9" i="10" a="1"/>
  <c r="E23" i="10" a="1"/>
  <c r="B30" i="14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21" i="13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E19" i="14" a="1"/>
  <c r="H9" i="11" a="1"/>
  <c r="E25" i="13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20" i="14" a="1"/>
  <c r="E8" i="13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B12" i="13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B18" i="14" a="1"/>
  <c r="H11" i="16" a="1"/>
  <c r="B12" i="8" a="1"/>
  <c r="H8" i="11" a="1"/>
  <c r="B20" i="15" a="1"/>
  <c r="E21" i="14" a="1"/>
  <c r="E18" i="11" a="1"/>
  <c r="E11" i="14" a="1"/>
  <c r="B5" i="11" a="1"/>
  <c r="H13" i="10" a="1"/>
  <c r="B6" i="12" a="1"/>
  <c r="B21" i="15" a="1"/>
  <c r="B14" i="11" a="1"/>
  <c r="B11" i="11" a="1"/>
  <c r="B16" i="15" a="1"/>
  <c r="E21" i="8" a="1"/>
  <c r="B15" i="14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E12" i="13"/>
  <c r="B13" i="14"/>
  <c r="B16" i="14"/>
  <c r="E25" i="14"/>
  <c r="B16" i="15"/>
  <c r="B13" i="15"/>
  <c r="H14" i="10"/>
  <c r="E10" i="11"/>
  <c r="E16" i="11"/>
  <c r="H8" i="11"/>
  <c r="K22" i="11"/>
  <c r="K15" i="12"/>
  <c r="H10" i="12"/>
  <c r="H21" i="12"/>
  <c r="E12" i="12"/>
  <c r="H26" i="12"/>
  <c r="B6" i="13"/>
  <c r="E21" i="13"/>
  <c r="B22" i="14"/>
  <c r="B6" i="14"/>
  <c r="E15" i="14"/>
  <c r="B21" i="15"/>
  <c r="H16" i="12"/>
  <c r="E24" i="14"/>
  <c r="B19" i="15"/>
  <c r="K9" i="12"/>
  <c r="B12" i="11"/>
  <c r="H24" i="12"/>
  <c r="E11" i="13"/>
  <c r="K20" i="11"/>
  <c r="E20" i="12"/>
  <c r="H25" i="12"/>
  <c r="K13" i="11"/>
  <c r="H20" i="12"/>
  <c r="B14" i="13"/>
  <c r="E5" i="14"/>
  <c r="H15" i="10"/>
  <c r="E20" i="11"/>
  <c r="B23" i="11"/>
  <c r="E15" i="11"/>
  <c r="B11" i="12"/>
  <c r="E13" i="12"/>
  <c r="E9" i="12"/>
  <c r="E17" i="12"/>
  <c r="E20" i="13"/>
  <c r="B29" i="14"/>
  <c r="E23" i="14"/>
  <c r="H18" i="11"/>
  <c r="H18" i="12"/>
  <c r="K11" i="12"/>
  <c r="K19" i="12"/>
  <c r="E29" i="13"/>
  <c r="B28" i="14"/>
  <c r="E13" i="14"/>
  <c r="H7" i="10"/>
  <c r="H12" i="11"/>
  <c r="B20" i="11"/>
  <c r="B22" i="11"/>
  <c r="K16" i="11"/>
  <c r="K8" i="12"/>
  <c r="K6" i="12"/>
  <c r="E14" i="12"/>
  <c r="E22" i="12"/>
  <c r="K25" i="12"/>
  <c r="B11" i="13"/>
  <c r="E19" i="13"/>
  <c r="B27" i="14"/>
  <c r="E9" i="14"/>
  <c r="E22" i="14"/>
  <c r="B18" i="15"/>
  <c r="E13" i="11"/>
  <c r="B22" i="13"/>
  <c r="H17" i="10"/>
  <c r="H6" i="11"/>
  <c r="B26" i="11"/>
  <c r="K17" i="11"/>
  <c r="E11" i="12"/>
  <c r="B16" i="12"/>
  <c r="K16" i="12"/>
  <c r="B27" i="12"/>
  <c r="K23" i="12"/>
  <c r="B19" i="13"/>
  <c r="E9" i="13"/>
  <c r="B7" i="14"/>
  <c r="E18" i="14"/>
  <c r="E12" i="14"/>
  <c r="B23" i="15"/>
  <c r="H9" i="11"/>
  <c r="B17" i="11"/>
  <c r="K20" i="12"/>
  <c r="B25" i="13"/>
  <c r="E10" i="14"/>
  <c r="H16" i="10"/>
  <c r="E6" i="11"/>
  <c r="K5" i="11"/>
  <c r="E23" i="12"/>
  <c r="K24" i="12"/>
  <c r="E29" i="14"/>
  <c r="B10" i="15"/>
  <c r="B8" i="15"/>
  <c r="H8" i="10"/>
  <c r="B10" i="11"/>
  <c r="H7" i="11"/>
  <c r="B6" i="11"/>
  <c r="K18" i="11"/>
  <c r="K13" i="12"/>
  <c r="E19" i="12"/>
  <c r="K7" i="12"/>
  <c r="B17" i="13"/>
  <c r="B9" i="13"/>
  <c r="E28" i="13"/>
  <c r="B15" i="14"/>
  <c r="E7" i="14"/>
  <c r="E8" i="14"/>
  <c r="B14" i="15"/>
  <c r="H19" i="11"/>
  <c r="K14" i="12"/>
  <c r="K14" i="11"/>
  <c r="K26" i="12"/>
  <c r="K9" i="11"/>
  <c r="E16" i="12"/>
  <c r="K21" i="12"/>
  <c r="B10" i="12"/>
  <c r="B16" i="13"/>
  <c r="B18" i="13"/>
  <c r="E18" i="13"/>
  <c r="B23" i="14"/>
  <c r="E16" i="14"/>
  <c r="B9" i="15"/>
  <c r="E24" i="15"/>
  <c r="B31" i="14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4" i="13"/>
  <c r="E8" i="13"/>
  <c r="B12" i="14"/>
  <c r="E6" i="14"/>
  <c r="B25" i="15"/>
  <c r="K10" i="12"/>
  <c r="H19" i="10"/>
  <c r="B7" i="11"/>
  <c r="H17" i="11"/>
  <c r="H15" i="11"/>
  <c r="K11" i="11"/>
  <c r="E21" i="12"/>
  <c r="K12" i="12"/>
  <c r="E7" i="12"/>
  <c r="B15" i="12"/>
  <c r="B23" i="13"/>
  <c r="E7" i="13"/>
  <c r="B21" i="14"/>
  <c r="E21" i="14"/>
  <c r="B20" i="15"/>
  <c r="B24" i="15"/>
  <c r="E22" i="8"/>
  <c r="K22" i="12"/>
  <c r="H25" i="10"/>
  <c r="K21" i="11"/>
  <c r="E17" i="13"/>
  <c r="B30" i="14"/>
  <c r="E22" i="11"/>
  <c r="B20" i="12"/>
  <c r="B10" i="13"/>
  <c r="E10" i="13"/>
  <c r="E26" i="13"/>
  <c r="B9" i="14"/>
  <c r="H21" i="10"/>
  <c r="H24" i="10"/>
  <c r="B5" i="11"/>
  <c r="H14" i="11"/>
  <c r="B28" i="11"/>
  <c r="E10" i="12"/>
  <c r="B13" i="12"/>
  <c r="B12" i="12"/>
  <c r="E14" i="14"/>
  <c r="H6" i="10"/>
  <c r="H5" i="11"/>
  <c r="E7" i="11"/>
  <c r="B18" i="11"/>
  <c r="B27" i="11"/>
  <c r="E24" i="11"/>
  <c r="E15" i="12"/>
  <c r="B18" i="12"/>
  <c r="H14" i="12"/>
  <c r="H22" i="12"/>
  <c r="B7" i="13"/>
  <c r="E27" i="13"/>
  <c r="E16" i="13"/>
  <c r="B18" i="14"/>
  <c r="E11" i="14"/>
  <c r="B21" i="11"/>
  <c r="H17" i="12"/>
  <c r="E25" i="13"/>
  <c r="E15" i="13"/>
  <c r="E20" i="14"/>
  <c r="B11" i="15"/>
  <c r="B7" i="15"/>
  <c r="B30" i="15"/>
  <c r="B19" i="11"/>
  <c r="B24" i="12"/>
  <c r="B21" i="13"/>
  <c r="E30" i="14"/>
  <c r="H11" i="10"/>
  <c r="H22" i="11"/>
  <c r="H10" i="11"/>
  <c r="K12" i="11"/>
  <c r="B8" i="12"/>
  <c r="E8" i="12"/>
  <c r="H8" i="12"/>
  <c r="B17" i="12"/>
  <c r="B26" i="13"/>
  <c r="H10" i="10"/>
  <c r="E18" i="12"/>
  <c r="B15" i="13"/>
  <c r="H23" i="10"/>
  <c r="B16" i="11"/>
  <c r="H21" i="11"/>
  <c r="H9" i="12"/>
  <c r="E21" i="11"/>
  <c r="B28" i="12"/>
  <c r="H23" i="11"/>
  <c r="K6" i="11"/>
  <c r="K17" i="12"/>
  <c r="B21" i="12"/>
  <c r="H13" i="12"/>
  <c r="E27" i="12"/>
  <c r="B13" i="13"/>
  <c r="E14" i="13"/>
  <c r="B20" i="14"/>
  <c r="B11" i="14"/>
  <c r="E28" i="14"/>
  <c r="B17" i="15"/>
  <c r="B28" i="15"/>
  <c r="H12" i="10"/>
  <c r="B8" i="11"/>
  <c r="H20" i="11"/>
  <c r="H11" i="11"/>
  <c r="K7" i="11"/>
  <c r="E6" i="12"/>
  <c r="B14" i="12"/>
  <c r="H23" i="12"/>
  <c r="B26" i="12"/>
  <c r="E26" i="12"/>
  <c r="B12" i="13"/>
  <c r="E23" i="13"/>
  <c r="B8" i="14"/>
  <c r="B10" i="14"/>
  <c r="E27" i="14"/>
  <c r="B15" i="15"/>
  <c r="B22" i="15"/>
  <c r="H13" i="11"/>
  <c r="E6" i="13"/>
  <c r="K15" i="11"/>
  <c r="H19" i="12"/>
  <c r="E19" i="14"/>
  <c r="B29" i="15"/>
  <c r="E8" i="11"/>
  <c r="H22" i="10"/>
  <c r="B20" i="13"/>
  <c r="B25" i="14"/>
  <c r="E17" i="14"/>
  <c r="H15" i="12"/>
  <c r="B17" i="14"/>
  <c r="B13" i="11"/>
  <c r="B14" i="11"/>
  <c r="B25" i="11"/>
  <c r="B6" i="12"/>
  <c r="B29" i="12"/>
  <c r="E24" i="13"/>
  <c r="B24" i="14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E13" i="13"/>
  <c r="B19" i="14"/>
  <c r="B27" i="15"/>
  <c r="H13" i="10"/>
  <c r="E19" i="11"/>
  <c r="E11" i="11"/>
  <c r="E18" i="11"/>
  <c r="K10" i="11"/>
  <c r="H6" i="12"/>
  <c r="H11" i="12"/>
  <c r="H7" i="12"/>
  <c r="E25" i="12"/>
  <c r="B8" i="13"/>
  <c r="E22" i="13"/>
  <c r="B14" i="14"/>
  <c r="B26" i="14"/>
  <c r="E26" i="14"/>
  <c r="B6" i="15"/>
  <c r="B27" i="13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69" i="3"/>
  <c r="C70" i="3" s="1"/>
  <c r="C71" i="3" s="1"/>
  <c r="E5" i="7"/>
  <c r="F5" i="7"/>
  <c r="C57" i="3" a="1"/>
  <c r="C56" i="3" a="1"/>
  <c r="C51" i="3" a="1"/>
  <c r="C35" i="3"/>
  <c r="C57" i="3" l="1"/>
  <c r="C59" i="3" s="1"/>
  <c r="C56" i="3"/>
  <c r="C58" i="3" s="1"/>
  <c r="C51" i="3"/>
  <c r="M4" i="15"/>
  <c r="M4" i="16"/>
  <c r="G4" i="13"/>
  <c r="G4" i="14"/>
  <c r="M4" i="11"/>
  <c r="M4" i="12"/>
  <c r="G4" i="8"/>
  <c r="J4" i="10"/>
  <c r="H4" i="13" a="1"/>
  <c r="N4" i="11" a="1"/>
  <c r="N4" i="15" a="1"/>
  <c r="K4" i="10" a="1"/>
  <c r="H4" i="8" a="1"/>
  <c r="N4" i="16" a="1"/>
  <c r="H4" i="14" a="1"/>
  <c r="N4" i="12" a="1"/>
  <c r="H4" i="8" l="1"/>
  <c r="K4" i="10"/>
  <c r="N4" i="11"/>
  <c r="M5" i="11"/>
  <c r="M6" i="11" s="1"/>
  <c r="N4" i="12"/>
  <c r="H4" i="13"/>
  <c r="G5" i="13"/>
  <c r="N4" i="15"/>
  <c r="N4" i="16"/>
  <c r="M5" i="15"/>
  <c r="M6" i="15" s="1"/>
  <c r="M5" i="16"/>
  <c r="H4" i="14"/>
  <c r="G5" i="14"/>
  <c r="M5" i="12"/>
  <c r="J5" i="10"/>
  <c r="J6" i="10" s="1"/>
  <c r="G5" i="8"/>
  <c r="C43" i="3"/>
  <c r="K5" i="10" a="1"/>
  <c r="N5" i="16" a="1"/>
  <c r="N6" i="15" a="1"/>
  <c r="H5" i="13" a="1"/>
  <c r="N6" i="11" a="1"/>
  <c r="H5" i="14" a="1"/>
  <c r="N5" i="15" a="1"/>
  <c r="K6" i="10" a="1"/>
  <c r="N5" i="12" a="1"/>
  <c r="N5" i="11" a="1"/>
  <c r="H5" i="8" a="1"/>
  <c r="N5" i="11" l="1"/>
  <c r="M7" i="11"/>
  <c r="H5" i="13"/>
  <c r="N5" i="16"/>
  <c r="N6" i="15"/>
  <c r="N5" i="15"/>
  <c r="M7" i="15"/>
  <c r="M6" i="16"/>
  <c r="H5" i="14"/>
  <c r="N5" i="12"/>
  <c r="N6" i="11"/>
  <c r="M7" i="12"/>
  <c r="M6" i="12"/>
  <c r="K6" i="10"/>
  <c r="H5" i="8"/>
  <c r="K5" i="10"/>
  <c r="B20" i="2"/>
  <c r="D6" i="3"/>
  <c r="N7" i="11" a="1"/>
  <c r="N6" i="16" a="1"/>
  <c r="N7" i="12" a="1"/>
  <c r="N7" i="15" a="1"/>
  <c r="N6" i="12" a="1"/>
  <c r="G6" i="3"/>
  <c r="E6" i="3"/>
  <c r="C36" i="3"/>
  <c r="F6" i="3"/>
  <c r="N7" i="11" l="1"/>
  <c r="N6" i="16"/>
  <c r="N7" i="15"/>
  <c r="C38" i="3"/>
  <c r="C60" i="3" s="1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6" a="1"/>
  <c r="F20" i="3"/>
  <c r="F21" i="3"/>
  <c r="G13" i="3"/>
  <c r="F8" i="3"/>
  <c r="E22" i="3"/>
  <c r="E19" i="3"/>
  <c r="F16" i="3"/>
  <c r="E18" i="3"/>
  <c r="E23" i="3"/>
  <c r="G12" i="3"/>
  <c r="E20" i="3"/>
  <c r="F9" i="3"/>
  <c r="F17" i="3"/>
  <c r="G25" i="3"/>
  <c r="E12" i="3"/>
  <c r="F10" i="3"/>
  <c r="G8" i="3"/>
  <c r="E15" i="3"/>
  <c r="E9" i="3"/>
  <c r="F24" i="3"/>
  <c r="E24" i="3"/>
  <c r="G11" i="3"/>
  <c r="F19" i="3"/>
  <c r="E17" i="3"/>
  <c r="E25" i="3"/>
  <c r="G21" i="3"/>
  <c r="E10" i="3"/>
  <c r="G19" i="3"/>
  <c r="G17" i="3"/>
  <c r="G7" i="3"/>
  <c r="G23" i="3"/>
  <c r="G9" i="3"/>
  <c r="G16" i="3"/>
  <c r="G14" i="3"/>
  <c r="G22" i="3"/>
  <c r="F25" i="3"/>
  <c r="G15" i="3"/>
  <c r="E13" i="3"/>
  <c r="E7" i="3"/>
  <c r="E21" i="3"/>
  <c r="E8" i="3"/>
  <c r="G10" i="3"/>
  <c r="F7" i="3"/>
  <c r="G20" i="3"/>
  <c r="F12" i="3"/>
  <c r="E16" i="3"/>
  <c r="F22" i="3"/>
  <c r="F11" i="3"/>
  <c r="E11" i="3"/>
  <c r="F13" i="3"/>
  <c r="E14" i="3"/>
  <c r="F14" i="3"/>
  <c r="F18" i="3"/>
  <c r="F23" i="3"/>
  <c r="F15" i="3"/>
  <c r="G24" i="3"/>
  <c r="G18" i="3"/>
  <c r="N7" i="16" l="1"/>
  <c r="C61" i="3"/>
  <c r="C63" i="3"/>
  <c r="C62" i="3"/>
  <c r="C64" i="3" s="1"/>
  <c r="C39" i="3"/>
  <c r="C52" i="3" s="1"/>
  <c r="C45" i="3" a="1"/>
  <c r="C45" i="3" l="1"/>
  <c r="C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<sst xmlns="http://schemas.openxmlformats.org/spreadsheetml/2006/main" count="300" uniqueCount="133">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</sst>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2.1622427751155429</c:v>
                </c:pt>
                <c:pt idx="1">
                  <c:v>1.4344187625492677</c:v>
                </c:pt>
                <c:pt idx="2">
                  <c:v>1.1918107583605089</c:v>
                </c:pt>
                <c:pt idx="3">
                  <c:v>1.0705067562661299</c:v>
                </c:pt>
                <c:pt idx="4">
                  <c:v>0.99772435500950252</c:v>
                </c:pt>
                <c:pt idx="5">
                  <c:v>0.94920275417175048</c:v>
                </c:pt>
                <c:pt idx="6">
                  <c:v>0.91454446785907084</c:v>
                </c:pt>
                <c:pt idx="7">
                  <c:v>0.88855075312456111</c:v>
                </c:pt>
                <c:pt idx="8">
                  <c:v>0.86833341944216458</c:v>
                </c:pt>
                <c:pt idx="9">
                  <c:v>0.85215955249624742</c:v>
                </c:pt>
                <c:pt idx="10">
                  <c:v>0.83892638863140612</c:v>
                </c:pt>
                <c:pt idx="11">
                  <c:v>0.82789875207737129</c:v>
                </c:pt>
                <c:pt idx="12">
                  <c:v>0.81856767499318839</c:v>
                </c:pt>
                <c:pt idx="13">
                  <c:v>0.81056960892103158</c:v>
                </c:pt>
                <c:pt idx="14">
                  <c:v>0.80363795165849561</c:v>
                </c:pt>
                <c:pt idx="15">
                  <c:v>0.79757275155377672</c:v>
                </c:pt>
                <c:pt idx="16">
                  <c:v>0.79222110440255389</c:v>
                </c:pt>
                <c:pt idx="17">
                  <c:v>0.78746408471257845</c:v>
                </c:pt>
                <c:pt idx="18">
                  <c:v>0.78320780393733702</c:v>
                </c:pt>
                <c:pt idx="19">
                  <c:v>0.77937715123961981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2.9165076823335139</c:v>
                </c:pt>
                <c:pt idx="1">
                  <c:v>2.1886836697672387</c:v>
                </c:pt>
                <c:pt idx="2">
                  <c:v>1.9460756655784801</c:v>
                </c:pt>
                <c:pt idx="3">
                  <c:v>1.8247716634841009</c:v>
                </c:pt>
                <c:pt idx="4">
                  <c:v>1.7519892622274735</c:v>
                </c:pt>
                <c:pt idx="5">
                  <c:v>1.7034676613897217</c:v>
                </c:pt>
                <c:pt idx="6">
                  <c:v>1.6688093750770421</c:v>
                </c:pt>
                <c:pt idx="7">
                  <c:v>1.6428156603425321</c:v>
                </c:pt>
                <c:pt idx="8">
                  <c:v>1.6225983266601358</c:v>
                </c:pt>
                <c:pt idx="9">
                  <c:v>1.6064244597142185</c:v>
                </c:pt>
                <c:pt idx="10">
                  <c:v>1.5931912958493772</c:v>
                </c:pt>
                <c:pt idx="11">
                  <c:v>1.5821636592953423</c:v>
                </c:pt>
                <c:pt idx="12">
                  <c:v>1.5728325822111595</c:v>
                </c:pt>
                <c:pt idx="13">
                  <c:v>1.5289171396048136</c:v>
                </c:pt>
                <c:pt idx="14">
                  <c:v>1.4740956469633588</c:v>
                </c:pt>
                <c:pt idx="15">
                  <c:v>1.426126840902086</c:v>
                </c:pt>
                <c:pt idx="16">
                  <c:v>1.3838014237891978</c:v>
                </c:pt>
                <c:pt idx="17">
                  <c:v>1.3461788307999645</c:v>
                </c:pt>
                <c:pt idx="18">
                  <c:v>1.3125165107569658</c:v>
                </c:pt>
                <c:pt idx="19">
                  <c:v>1.2822204227182672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2.9165076823335139</c:v>
                </c:pt>
                <c:pt idx="1">
                  <c:v>2.1886836697672387</c:v>
                </c:pt>
                <c:pt idx="2">
                  <c:v>1.7505255044478949</c:v>
                </c:pt>
                <c:pt idx="3">
                  <c:v>1.4895428158316695</c:v>
                </c:pt>
                <c:pt idx="4">
                  <c:v>1.3329532026619342</c:v>
                </c:pt>
                <c:pt idx="5">
                  <c:v>1.2285601272154436</c:v>
                </c:pt>
                <c:pt idx="6">
                  <c:v>1.1539936447536649</c:v>
                </c:pt>
                <c:pt idx="7">
                  <c:v>1.0980687829073308</c:v>
                </c:pt>
                <c:pt idx="8">
                  <c:v>1.05457166813796</c:v>
                </c:pt>
                <c:pt idx="9">
                  <c:v>1.0197739763224631</c:v>
                </c:pt>
                <c:pt idx="10">
                  <c:v>0.99130313756432964</c:v>
                </c:pt>
                <c:pt idx="11">
                  <c:v>0.96757743859921785</c:v>
                </c:pt>
                <c:pt idx="12">
                  <c:v>0.94750184716720065</c:v>
                </c:pt>
                <c:pt idx="13">
                  <c:v>0.93029419736832852</c:v>
                </c:pt>
                <c:pt idx="14">
                  <c:v>0.91538090087597279</c:v>
                </c:pt>
                <c:pt idx="15">
                  <c:v>0.90233176644516155</c:v>
                </c:pt>
                <c:pt idx="16">
                  <c:v>0.89081782430032797</c:v>
                </c:pt>
                <c:pt idx="17">
                  <c:v>0.88058320906047605</c:v>
                </c:pt>
                <c:pt idx="18">
                  <c:v>0.87142592174060851</c:v>
                </c:pt>
                <c:pt idx="19">
                  <c:v>0.86318436315272773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0.59863853124999977</c:v>
                </c:pt>
                <c:pt idx="1">
                  <c:v>0.48746754375000001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0.69622806937500004</c:v>
                </c:pt>
                <c:pt idx="1">
                  <c:v>0.60360433249999978</c:v>
                </c:pt>
                <c:pt idx="2" formatCode="0.000">
                  <c:v>0.40197685124999999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0.70497948562500012</c:v>
                </c:pt>
                <c:pt idx="1">
                  <c:v>0.61116133249999993</c:v>
                </c:pt>
                <c:pt idx="2" formatCode="0.000">
                  <c:v>0.40615135874999991</c:v>
                </c:pt>
                <c:pt idx="3">
                  <c:v>0.30604324999999999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0.69403893906250014</c:v>
                </c:pt>
                <c:pt idx="1">
                  <c:v>0.60852397999999996</c:v>
                </c:pt>
                <c:pt idx="2" formatCode="0.000">
                  <c:v>0.406518555</c:v>
                </c:pt>
                <c:pt idx="3">
                  <c:v>0.30491350874999995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2.0761361193946106E-3</c:v>
                </c:pt>
                <c:pt idx="1">
                  <c:v>2.306653091824741E-3</c:v>
                </c:pt>
                <c:pt idx="2">
                  <c:v>2.864232947672885E-3</c:v>
                </c:pt>
                <c:pt idx="3">
                  <c:v>4.7485714721309837E-3</c:v>
                </c:pt>
                <c:pt idx="4">
                  <c:v>7.9186089957851771E-3</c:v>
                </c:pt>
                <c:pt idx="5">
                  <c:v>1.3952991949212385E-2</c:v>
                </c:pt>
                <c:pt idx="6">
                  <c:v>2.8115583182409663E-2</c:v>
                </c:pt>
                <c:pt idx="7">
                  <c:v>3.9622859628261599E-2</c:v>
                </c:pt>
                <c:pt idx="8">
                  <c:v>5.572060431682517E-2</c:v>
                </c:pt>
                <c:pt idx="9">
                  <c:v>7.7962068863295597E-2</c:v>
                </c:pt>
                <c:pt idx="10">
                  <c:v>0.10353237615451689</c:v>
                </c:pt>
                <c:pt idx="11">
                  <c:v>0.13207612349263481</c:v>
                </c:pt>
                <c:pt idx="12">
                  <c:v>0.19430814864433679</c:v>
                </c:pt>
                <c:pt idx="13">
                  <c:v>0.21516454860841527</c:v>
                </c:pt>
                <c:pt idx="14">
                  <c:v>0.22279349184855821</c:v>
                </c:pt>
                <c:pt idx="15">
                  <c:v>0.22410737406659911</c:v>
                </c:pt>
                <c:pt idx="16">
                  <c:v>0.22448404857825069</c:v>
                </c:pt>
                <c:pt idx="17">
                  <c:v>0.2239279978117085</c:v>
                </c:pt>
                <c:pt idx="18">
                  <c:v>0.22284777375884146</c:v>
                </c:pt>
                <c:pt idx="19">
                  <c:v>0.22137408330896013</c:v>
                </c:pt>
                <c:pt idx="20">
                  <c:v>0.22022980762788449</c:v>
                </c:pt>
                <c:pt idx="21">
                  <c:v>0.21939950654332652</c:v>
                </c:pt>
                <c:pt idx="22">
                  <c:v>0.21921613523192873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3.0989125887760679E-3</c:v>
                </c:pt>
                <c:pt idx="1">
                  <c:v>3.6317659982168034E-3</c:v>
                </c:pt>
                <c:pt idx="2">
                  <c:v>6.9718897945102165E-3</c:v>
                </c:pt>
                <c:pt idx="3">
                  <c:v>1.3052351470776389E-2</c:v>
                </c:pt>
                <c:pt idx="4">
                  <c:v>2.1788719566607797E-2</c:v>
                </c:pt>
                <c:pt idx="5">
                  <c:v>3.0745585906407521E-2</c:v>
                </c:pt>
                <c:pt idx="6">
                  <c:v>5.1421603277563413E-2</c:v>
                </c:pt>
                <c:pt idx="7">
                  <c:v>8.7993890704506958E-2</c:v>
                </c:pt>
                <c:pt idx="8">
                  <c:v>0.13730476983166698</c:v>
                </c:pt>
                <c:pt idx="9">
                  <c:v>0.18238074903569121</c:v>
                </c:pt>
                <c:pt idx="10">
                  <c:v>0.23702909152923068</c:v>
                </c:pt>
                <c:pt idx="11">
                  <c:v>0.2743146216448123</c:v>
                </c:pt>
                <c:pt idx="12">
                  <c:v>0.30494961018655997</c:v>
                </c:pt>
                <c:pt idx="13">
                  <c:v>0.32301248884248696</c:v>
                </c:pt>
                <c:pt idx="14">
                  <c:v>0.34037214805997557</c:v>
                </c:pt>
                <c:pt idx="15">
                  <c:v>0.34902764868080355</c:v>
                </c:pt>
                <c:pt idx="16">
                  <c:v>0.35439101237927623</c:v>
                </c:pt>
                <c:pt idx="17">
                  <c:v>0.35434469993269757</c:v>
                </c:pt>
                <c:pt idx="18">
                  <c:v>0.35180307277763095</c:v>
                </c:pt>
                <c:pt idx="19">
                  <c:v>0.34809233406504952</c:v>
                </c:pt>
                <c:pt idx="20">
                  <c:v>0.3444462056745855</c:v>
                </c:pt>
                <c:pt idx="21">
                  <c:v>0.34209387490000487</c:v>
                </c:pt>
                <c:pt idx="22">
                  <c:v>0.34032579473122654</c:v>
                </c:pt>
                <c:pt idx="23">
                  <c:v>0.3408060029597702</c:v>
                </c:pt>
                <c:pt idx="24">
                  <c:v>0.34480225352541488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0.20261310391323117</c:v>
                </c:pt>
                <c:pt idx="1">
                  <c:v>0.31527698882290428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5.8699959728448312E-2</c:v>
                </c:pt>
                <c:pt idx="1">
                  <c:v>6.9435467375133009E-2</c:v>
                </c:pt>
                <c:pt idx="2">
                  <c:v>0.11606187181669959</c:v>
                </c:pt>
                <c:pt idx="3">
                  <c:v>0.18721953644793063</c:v>
                </c:pt>
                <c:pt idx="4">
                  <c:v>0.28977326535010867</c:v>
                </c:pt>
                <c:pt idx="5">
                  <c:v>0.4527414233091091</c:v>
                </c:pt>
                <c:pt idx="6">
                  <c:v>0.70797371897826966</c:v>
                </c:pt>
                <c:pt idx="7">
                  <c:v>1.0428460314807526</c:v>
                </c:pt>
                <c:pt idx="8">
                  <c:v>1.3073476270523949</c:v>
                </c:pt>
                <c:pt idx="9">
                  <c:v>1.6458047026120828</c:v>
                </c:pt>
                <c:pt idx="10">
                  <c:v>2.0912104717920403</c:v>
                </c:pt>
                <c:pt idx="11">
                  <c:v>2.5227166644195322</c:v>
                </c:pt>
                <c:pt idx="12">
                  <c:v>2.9552561345073638</c:v>
                </c:pt>
                <c:pt idx="13">
                  <c:v>3.3755725537633894</c:v>
                </c:pt>
                <c:pt idx="14">
                  <c:v>3.6797802496988203</c:v>
                </c:pt>
                <c:pt idx="15">
                  <c:v>3.9419275493143173</c:v>
                </c:pt>
                <c:pt idx="16">
                  <c:v>4.1152301430798506</c:v>
                </c:pt>
                <c:pt idx="17">
                  <c:v>4.22368893922952</c:v>
                </c:pt>
                <c:pt idx="18">
                  <c:v>4.2745706557077998</c:v>
                </c:pt>
                <c:pt idx="19">
                  <c:v>4.296766151153852</c:v>
                </c:pt>
                <c:pt idx="20">
                  <c:v>4.308453663907402</c:v>
                </c:pt>
                <c:pt idx="21">
                  <c:v>4.3325038217611915</c:v>
                </c:pt>
                <c:pt idx="22">
                  <c:v>4.375684352940775</c:v>
                </c:pt>
                <c:pt idx="23">
                  <c:v>4.4102778079676064</c:v>
                </c:pt>
                <c:pt idx="24">
                  <c:v>4.4275416642478564</c:v>
                </c:pt>
                <c:pt idx="25">
                  <c:v>4.3986971060193216</c:v>
                </c:pt>
                <c:pt idx="26">
                  <c:v>4.2814893656348794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6.5332005076354074E-2</c:v>
                </c:pt>
                <c:pt idx="1">
                  <c:v>8.3024503430367991E-2</c:v>
                </c:pt>
                <c:pt idx="2">
                  <c:v>0.13029319989368909</c:v>
                </c:pt>
                <c:pt idx="3">
                  <c:v>0.19003663514718383</c:v>
                </c:pt>
                <c:pt idx="4">
                  <c:v>0.30154604169485771</c:v>
                </c:pt>
                <c:pt idx="5">
                  <c:v>0.45734108198958784</c:v>
                </c:pt>
                <c:pt idx="6">
                  <c:v>0.64880569794929766</c:v>
                </c:pt>
                <c:pt idx="7">
                  <c:v>1.0275143347352405</c:v>
                </c:pt>
                <c:pt idx="8">
                  <c:v>1.5117576933089074</c:v>
                </c:pt>
                <c:pt idx="9">
                  <c:v>1.9766461734356795</c:v>
                </c:pt>
                <c:pt idx="10">
                  <c:v>2.4153043030533041</c:v>
                </c:pt>
                <c:pt idx="11">
                  <c:v>2.8949719502216373</c:v>
                </c:pt>
                <c:pt idx="12">
                  <c:v>3.442525116859056</c:v>
                </c:pt>
                <c:pt idx="13">
                  <c:v>3.9983191892212222</c:v>
                </c:pt>
                <c:pt idx="14">
                  <c:v>4.2956751269185816</c:v>
                </c:pt>
                <c:pt idx="15">
                  <c:v>4.5961323753895709</c:v>
                </c:pt>
                <c:pt idx="16">
                  <c:v>4.7310905107991932</c:v>
                </c:pt>
                <c:pt idx="17">
                  <c:v>4.7925392548503378</c:v>
                </c:pt>
                <c:pt idx="18">
                  <c:v>4.8530053009772187</c:v>
                </c:pt>
                <c:pt idx="19">
                  <c:v>4.8731783149623178</c:v>
                </c:pt>
                <c:pt idx="20">
                  <c:v>4.8762756872628295</c:v>
                </c:pt>
                <c:pt idx="21">
                  <c:v>4.866547006196031</c:v>
                </c:pt>
                <c:pt idx="22">
                  <c:v>4.8531966770620008</c:v>
                </c:pt>
                <c:pt idx="23">
                  <c:v>4.8274790127735043</c:v>
                </c:pt>
                <c:pt idx="24">
                  <c:v>4.8074247057332391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3.3892672929862857</c:v>
                </c:pt>
                <c:pt idx="1">
                  <c:v>3.7145173420375786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0.12505250388889821</c:v>
                </c:pt>
                <c:pt idx="1">
                  <c:v>0.18846199981652903</c:v>
                </c:pt>
                <c:pt idx="2" formatCode="0.000">
                  <c:v>0.9350477335751991</c:v>
                </c:pt>
                <c:pt idx="3">
                  <c:v>1.4629907179962951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1.9201112403645975</c:v>
                </c:pt>
                <c:pt idx="1">
                  <c:v>2.6546631211364748</c:v>
                </c:pt>
                <c:pt idx="2" formatCode="0.000">
                  <c:v>3.8684792970592765</c:v>
                </c:pt>
                <c:pt idx="3">
                  <c:v>4.3971406149947496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1.25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1.4245832020239257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topLeftCell="A19"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38" t="s">
        <v>0</v>
      </c>
    </row>
    <row r="3" spans="2:2" x14ac:dyDescent="0.2">
      <c r="B3" s="38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129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125</v>
      </c>
    </row>
    <row r="30" spans="2:2" x14ac:dyDescent="0.2">
      <c r="B30" s="13"/>
    </row>
    <row r="32" spans="2:2" x14ac:dyDescent="0.2">
      <c r="B32" s="18" t="s">
        <v>18</v>
      </c>
    </row>
    <row r="33" spans="2:2" ht="38.25" x14ac:dyDescent="0.2">
      <c r="B33" s="19" t="s">
        <v>128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127</v>
      </c>
    </row>
    <row r="39" spans="2:2" ht="9" customHeight="1" x14ac:dyDescent="0.2">
      <c r="B39" s="19"/>
    </row>
    <row r="40" spans="2:2" x14ac:dyDescent="0.2">
      <c r="B40" s="19" t="s">
        <v>126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topLeftCell="A15" zoomScale="115" zoomScaleNormal="115" workbookViewId="0">
      <selection activeCell="B19" sqref="B19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38" t="s">
        <v>20</v>
      </c>
      <c r="B1" s="38"/>
      <c r="C1" s="38"/>
      <c r="D1" s="38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39" t="s">
        <v>21</v>
      </c>
      <c r="B3" s="39"/>
      <c r="C3" s="39"/>
      <c r="D3" s="39"/>
      <c r="E3" s="12"/>
    </row>
    <row r="4" spans="1:5" x14ac:dyDescent="0.25">
      <c r="A4" s="13" t="s">
        <v>22</v>
      </c>
      <c r="B4" s="14">
        <v>9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6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6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20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5">
        <v>6E-9</v>
      </c>
      <c r="C10" s="15" t="s">
        <v>31</v>
      </c>
      <c r="D10" s="15"/>
      <c r="E10" s="12"/>
    </row>
    <row r="11" spans="1:5" x14ac:dyDescent="0.25">
      <c r="A11" s="13" t="s">
        <v>32</v>
      </c>
      <c r="B11" s="35">
        <v>6E-9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39" t="s">
        <v>37</v>
      </c>
      <c r="B15" s="39"/>
      <c r="C15" s="39"/>
      <c r="D15" s="39"/>
      <c r="E15" s="12"/>
    </row>
    <row r="16" spans="1:5" x14ac:dyDescent="0.25">
      <c r="A16" s="13" t="s">
        <v>38</v>
      </c>
      <c r="B16" s="14">
        <v>4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28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1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6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39" t="s">
        <v>42</v>
      </c>
      <c r="B22" s="39"/>
      <c r="C22" s="39"/>
      <c r="D22" s="39"/>
      <c r="E22" s="12"/>
    </row>
    <row r="23" spans="1:5" x14ac:dyDescent="0.25">
      <c r="A23" s="13" t="s">
        <v>43</v>
      </c>
      <c r="B23" s="32">
        <v>1.3</v>
      </c>
      <c r="C23" s="15" t="s">
        <v>36</v>
      </c>
      <c r="D23" s="15"/>
      <c r="E23" s="12"/>
    </row>
    <row r="24" spans="1:5" x14ac:dyDescent="0.25">
      <c r="A24" s="13" t="s">
        <v>122</v>
      </c>
      <c r="B24" s="32">
        <v>1.1000000000000001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8</v>
      </c>
      <c r="C25" s="15" t="s">
        <v>45</v>
      </c>
      <c r="D25" s="15" t="s">
        <v>121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39" t="s">
        <v>46</v>
      </c>
      <c r="B27" s="39"/>
      <c r="C27" s="39"/>
      <c r="D27" s="39"/>
      <c r="E27" s="12"/>
    </row>
    <row r="28" spans="1:5" x14ac:dyDescent="0.25">
      <c r="A28" s="13" t="s">
        <v>92</v>
      </c>
      <c r="B28" s="21">
        <v>1.5</v>
      </c>
      <c r="C28" s="15" t="s">
        <v>36</v>
      </c>
      <c r="D28" s="15" t="s">
        <v>131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4" t="s">
        <v>132</v>
      </c>
      <c r="B30" s="21">
        <v>2.5</v>
      </c>
      <c r="C30" s="15" t="s">
        <v>36</v>
      </c>
      <c r="D30" s="33" t="s">
        <v>130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39" t="s">
        <v>49</v>
      </c>
      <c r="B32" s="39"/>
      <c r="C32" s="39"/>
      <c r="D32" s="39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abSelected="1" topLeftCell="A30" zoomScale="130" zoomScaleNormal="130" workbookViewId="0">
      <selection activeCell="B75" sqref="B75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5.285156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45" t="s">
        <v>51</v>
      </c>
      <c r="C1" s="45"/>
      <c r="D1" s="45"/>
      <c r="E1" s="45"/>
      <c r="F1" s="45"/>
      <c r="G1" s="45"/>
    </row>
    <row r="2" spans="2:17" x14ac:dyDescent="0.25">
      <c r="P2" s="2"/>
    </row>
    <row r="3" spans="2:17" x14ac:dyDescent="0.25">
      <c r="B3" s="44" t="s">
        <v>55</v>
      </c>
      <c r="C3" s="44"/>
      <c r="D3" s="44"/>
      <c r="E3" s="44"/>
      <c r="F3" s="44"/>
      <c r="G3" s="44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0.45</v>
      </c>
      <c r="E6" s="10">
        <f>IFERROR(GetFZ(D6,dw_sat,c_eff,phi_eff,gamma,gammaw,beta),"-&gt; importa ModuloTrincee.bas")</f>
        <v>2.1622427751155429</v>
      </c>
      <c r="F6" s="10">
        <f>IFERROR(GetFZ(D6,dw_init,c_eff,phi_eff,gamma,gammaw,beta),"-&gt; importa ModuloTrincee.bas")</f>
        <v>2.9165076823335139</v>
      </c>
      <c r="G6" s="10">
        <f>IFERROR(GetFZ(D6,dw_dry,c_eff,phi_eff,gamma,gammaw,beta),"-&gt; importa ModuloTrincee.bas")</f>
        <v>2.9165076823335139</v>
      </c>
    </row>
    <row r="7" spans="2:17" x14ac:dyDescent="0.25">
      <c r="B7" s="3" t="s">
        <v>100</v>
      </c>
      <c r="D7" s="10">
        <f>DATI_INPUT!$B$4*2/20</f>
        <v>0.9</v>
      </c>
      <c r="E7" s="10">
        <f>IFERROR(GetFZ(D7,dw_sat,c_eff,phi_eff,gamma,gammaw,beta),"-&gt; importa ModuloTrincee.bas")</f>
        <v>1.4344187625492677</v>
      </c>
      <c r="F7" s="10">
        <f>IFERROR(GetFZ(D7,dw_init,c_eff,phi_eff,gamma,gammaw,beta),"-&gt; importa ModuloTrincee.bas")</f>
        <v>2.1886836697672387</v>
      </c>
      <c r="G7" s="10">
        <f>IFERROR(GetFZ(D7,dw_dry,c_eff,phi_eff,gamma,gammaw,beta),"-&gt; importa ModuloTrincee.bas")</f>
        <v>2.1886836697672387</v>
      </c>
    </row>
    <row r="8" spans="2:17" x14ac:dyDescent="0.25">
      <c r="D8" s="10">
        <f>DATI_INPUT!$B$4*3/20</f>
        <v>1.35</v>
      </c>
      <c r="E8" s="10">
        <f>IFERROR(GetFZ(D8,dw_sat,c_eff,phi_eff,gamma,gammaw,beta),"-&gt; importa ModuloTrincee.bas")</f>
        <v>1.1918107583605089</v>
      </c>
      <c r="F8" s="10">
        <f>IFERROR(GetFZ(D8,dw_init,c_eff,phi_eff,gamma,gammaw,beta),"-&gt; importa ModuloTrincee.bas")</f>
        <v>1.7505255044478949</v>
      </c>
      <c r="G8" s="10">
        <f>IFERROR(GetFZ(D8,dw_dry,c_eff,phi_eff,gamma,gammaw,beta),"-&gt; importa ModuloTrincee.bas")</f>
        <v>1.9460756655784801</v>
      </c>
    </row>
    <row r="9" spans="2:17" x14ac:dyDescent="0.25">
      <c r="D9" s="10">
        <f>DATI_INPUT!$B$4*4/20</f>
        <v>1.8</v>
      </c>
      <c r="E9" s="10">
        <f>IFERROR(GetFZ(D9,dw_sat,c_eff,phi_eff,gamma,gammaw,beta),"-&gt; importa ModuloTrincee.bas")</f>
        <v>1.0705067562661299</v>
      </c>
      <c r="F9" s="10">
        <f>IFERROR(GetFZ(D9,dw_init,c_eff,phi_eff,gamma,gammaw,beta),"-&gt; importa ModuloTrincee.bas")</f>
        <v>1.4895428158316695</v>
      </c>
      <c r="G9" s="10">
        <f>IFERROR(GetFZ(D9,dw_dry,c_eff,phi_eff,gamma,gammaw,beta),"-&gt; importa ModuloTrincee.bas")</f>
        <v>1.8247716634841009</v>
      </c>
    </row>
    <row r="10" spans="2:17" x14ac:dyDescent="0.25">
      <c r="D10" s="10">
        <f>DATI_INPUT!$B$4*5/20</f>
        <v>2.25</v>
      </c>
      <c r="E10" s="10">
        <f>IFERROR(GetFZ(D10,dw_sat,c_eff,phi_eff,gamma,gammaw,beta),"-&gt; importa ModuloTrincee.bas")</f>
        <v>0.99772435500950252</v>
      </c>
      <c r="F10" s="10">
        <f>IFERROR(GetFZ(D10,dw_init,c_eff,phi_eff,gamma,gammaw,beta),"-&gt; importa ModuloTrincee.bas")</f>
        <v>1.3329532026619342</v>
      </c>
      <c r="G10" s="10">
        <f>IFERROR(GetFZ(D10,dw_dry,c_eff,phi_eff,gamma,gammaw,beta),"-&gt; importa ModuloTrincee.bas")</f>
        <v>1.7519892622274735</v>
      </c>
    </row>
    <row r="11" spans="2:17" x14ac:dyDescent="0.25">
      <c r="D11" s="10">
        <f>DATI_INPUT!$B$4*6/20</f>
        <v>2.7</v>
      </c>
      <c r="E11" s="10">
        <f>IFERROR(GetFZ(D11,dw_sat,c_eff,phi_eff,gamma,gammaw,beta),"-&gt; importa ModuloTrincee.bas")</f>
        <v>0.94920275417175048</v>
      </c>
      <c r="F11" s="10">
        <f>IFERROR(GetFZ(D11,dw_init,c_eff,phi_eff,gamma,gammaw,beta),"-&gt; importa ModuloTrincee.bas")</f>
        <v>1.2285601272154436</v>
      </c>
      <c r="G11" s="10">
        <f>IFERROR(GetFZ(D11,dw_dry,c_eff,phi_eff,gamma,gammaw,beta),"-&gt; importa ModuloTrincee.bas")</f>
        <v>1.7034676613897217</v>
      </c>
    </row>
    <row r="12" spans="2:17" x14ac:dyDescent="0.25">
      <c r="D12" s="10">
        <f>DATI_INPUT!$B$4*7/20</f>
        <v>3.15</v>
      </c>
      <c r="E12" s="10">
        <f>IFERROR(GetFZ(D12,dw_sat,c_eff,phi_eff,gamma,gammaw,beta),"-&gt; importa ModuloTrincee.bas")</f>
        <v>0.91454446785907084</v>
      </c>
      <c r="F12" s="10">
        <f>IFERROR(GetFZ(D12,dw_init,c_eff,phi_eff,gamma,gammaw,beta),"-&gt; importa ModuloTrincee.bas")</f>
        <v>1.1539936447536649</v>
      </c>
      <c r="G12" s="10">
        <f>IFERROR(GetFZ(D12,dw_dry,c_eff,phi_eff,gamma,gammaw,beta),"-&gt; importa ModuloTrincee.bas")</f>
        <v>1.6688093750770421</v>
      </c>
    </row>
    <row r="13" spans="2:17" x14ac:dyDescent="0.25">
      <c r="D13" s="10">
        <f>DATI_INPUT!$B$4*8/20</f>
        <v>3.6</v>
      </c>
      <c r="E13" s="10">
        <f>IFERROR(GetFZ(D13,dw_sat,c_eff,phi_eff,gamma,gammaw,beta),"-&gt; importa ModuloTrincee.bas")</f>
        <v>0.88855075312456111</v>
      </c>
      <c r="F13" s="10">
        <f>IFERROR(GetFZ(D13,dw_init,c_eff,phi_eff,gamma,gammaw,beta),"-&gt; importa ModuloTrincee.bas")</f>
        <v>1.0980687829073308</v>
      </c>
      <c r="G13" s="10">
        <f>IFERROR(GetFZ(D13,dw_dry,c_eff,phi_eff,gamma,gammaw,beta),"-&gt; importa ModuloTrincee.bas")</f>
        <v>1.6428156603425321</v>
      </c>
    </row>
    <row r="14" spans="2:17" x14ac:dyDescent="0.25">
      <c r="D14" s="10">
        <f>DATI_INPUT!$B$4*9/20</f>
        <v>4.05</v>
      </c>
      <c r="E14" s="10">
        <f>IFERROR(GetFZ(D14,dw_sat,c_eff,phi_eff,gamma,gammaw,beta),"-&gt; importa ModuloTrincee.bas")</f>
        <v>0.86833341944216458</v>
      </c>
      <c r="F14" s="10">
        <f>IFERROR(GetFZ(D14,dw_init,c_eff,phi_eff,gamma,gammaw,beta),"-&gt; importa ModuloTrincee.bas")</f>
        <v>1.05457166813796</v>
      </c>
      <c r="G14" s="10">
        <f>IFERROR(GetFZ(D14,dw_dry,c_eff,phi_eff,gamma,gammaw,beta),"-&gt; importa ModuloTrincee.bas")</f>
        <v>1.6225983266601358</v>
      </c>
    </row>
    <row r="15" spans="2:17" x14ac:dyDescent="0.25">
      <c r="D15" s="10">
        <f>DATI_INPUT!$B$4*10/20</f>
        <v>4.5</v>
      </c>
      <c r="E15" s="10">
        <f>IFERROR(GetFZ(D15,dw_sat,c_eff,phi_eff,gamma,gammaw,beta),"-&gt; importa ModuloTrincee.bas")</f>
        <v>0.85215955249624742</v>
      </c>
      <c r="F15" s="10">
        <f>IFERROR(GetFZ(D15,dw_init,c_eff,phi_eff,gamma,gammaw,beta),"-&gt; importa ModuloTrincee.bas")</f>
        <v>1.0197739763224631</v>
      </c>
      <c r="G15" s="10">
        <f>IFERROR(GetFZ(D15,dw_dry,c_eff,phi_eff,gamma,gammaw,beta),"-&gt; importa ModuloTrincee.bas")</f>
        <v>1.6064244597142185</v>
      </c>
    </row>
    <row r="16" spans="2:17" x14ac:dyDescent="0.25">
      <c r="D16" s="10">
        <f>DATI_INPUT!$B$4*11/20</f>
        <v>4.95</v>
      </c>
      <c r="E16" s="10">
        <f>IFERROR(GetFZ(D16,dw_sat,c_eff,phi_eff,gamma,gammaw,beta),"-&gt; importa ModuloTrincee.bas")</f>
        <v>0.83892638863140612</v>
      </c>
      <c r="F16" s="10">
        <f>IFERROR(GetFZ(D16,dw_init,c_eff,phi_eff,gamma,gammaw,beta),"-&gt; importa ModuloTrincee.bas")</f>
        <v>0.99130313756432964</v>
      </c>
      <c r="G16" s="10">
        <f>IFERROR(GetFZ(D16,dw_dry,c_eff,phi_eff,gamma,gammaw,beta),"-&gt; importa ModuloTrincee.bas")</f>
        <v>1.5931912958493772</v>
      </c>
    </row>
    <row r="17" spans="2:13" x14ac:dyDescent="0.25">
      <c r="D17" s="10">
        <f>DATI_INPUT!$B$4*12/20</f>
        <v>5.4</v>
      </c>
      <c r="E17" s="10">
        <f>IFERROR(GetFZ(D17,dw_sat,c_eff,phi_eff,gamma,gammaw,beta),"-&gt; importa ModuloTrincee.bas")</f>
        <v>0.82789875207737129</v>
      </c>
      <c r="F17" s="10">
        <f>IFERROR(GetFZ(D17,dw_init,c_eff,phi_eff,gamma,gammaw,beta),"-&gt; importa ModuloTrincee.bas")</f>
        <v>0.96757743859921785</v>
      </c>
      <c r="G17" s="10">
        <f>IFERROR(GetFZ(D17,dw_dry,c_eff,phi_eff,gamma,gammaw,beta),"-&gt; importa ModuloTrincee.bas")</f>
        <v>1.5821636592953423</v>
      </c>
    </row>
    <row r="18" spans="2:13" x14ac:dyDescent="0.25">
      <c r="D18" s="10">
        <f>DATI_INPUT!$B$4*13/20</f>
        <v>5.85</v>
      </c>
      <c r="E18" s="10">
        <f>IFERROR(GetFZ(D18,dw_sat,c_eff,phi_eff,gamma,gammaw,beta),"-&gt; importa ModuloTrincee.bas")</f>
        <v>0.81856767499318839</v>
      </c>
      <c r="F18" s="10">
        <f>IFERROR(GetFZ(D18,dw_init,c_eff,phi_eff,gamma,gammaw,beta),"-&gt; importa ModuloTrincee.bas")</f>
        <v>0.94750184716720065</v>
      </c>
      <c r="G18" s="10">
        <f>IFERROR(GetFZ(D18,dw_dry,c_eff,phi_eff,gamma,gammaw,beta),"-&gt; importa ModuloTrincee.bas")</f>
        <v>1.5728325822111595</v>
      </c>
    </row>
    <row r="19" spans="2:13" x14ac:dyDescent="0.25">
      <c r="D19" s="10">
        <f>DATI_INPUT!$B$4*14/20</f>
        <v>6.3</v>
      </c>
      <c r="E19" s="10">
        <f>IFERROR(GetFZ(D19,dw_sat,c_eff,phi_eff,gamma,gammaw,beta),"-&gt; importa ModuloTrincee.bas")</f>
        <v>0.81056960892103158</v>
      </c>
      <c r="F19" s="10">
        <f>IFERROR(GetFZ(D19,dw_init,c_eff,phi_eff,gamma,gammaw,beta),"-&gt; importa ModuloTrincee.bas")</f>
        <v>0.93029419736832852</v>
      </c>
      <c r="G19" s="10">
        <f>IFERROR(GetFZ(D19,dw_dry,c_eff,phi_eff,gamma,gammaw,beta),"-&gt; importa ModuloTrincee.bas")</f>
        <v>1.5289171396048136</v>
      </c>
    </row>
    <row r="20" spans="2:13" x14ac:dyDescent="0.25">
      <c r="D20" s="10">
        <f>DATI_INPUT!$B$4*15/20</f>
        <v>6.75</v>
      </c>
      <c r="E20" s="10">
        <f>IFERROR(GetFZ(D20,dw_sat,c_eff,phi_eff,gamma,gammaw,beta),"-&gt; importa ModuloTrincee.bas")</f>
        <v>0.80363795165849561</v>
      </c>
      <c r="F20" s="10">
        <f>IFERROR(GetFZ(D20,dw_init,c_eff,phi_eff,gamma,gammaw,beta),"-&gt; importa ModuloTrincee.bas")</f>
        <v>0.91538090087597279</v>
      </c>
      <c r="G20" s="10">
        <f>IFERROR(GetFZ(D20,dw_dry,c_eff,phi_eff,gamma,gammaw,beta),"-&gt; importa ModuloTrincee.bas")</f>
        <v>1.4740956469633588</v>
      </c>
    </row>
    <row r="21" spans="2:13" x14ac:dyDescent="0.25">
      <c r="D21" s="10">
        <f>DATI_INPUT!$B$4*16/20</f>
        <v>7.2</v>
      </c>
      <c r="E21" s="10">
        <f>IFERROR(GetFZ(D21,dw_sat,c_eff,phi_eff,gamma,gammaw,beta),"-&gt; importa ModuloTrincee.bas")</f>
        <v>0.79757275155377672</v>
      </c>
      <c r="F21" s="10">
        <f>IFERROR(GetFZ(D21,dw_init,c_eff,phi_eff,gamma,gammaw,beta),"-&gt; importa ModuloTrincee.bas")</f>
        <v>0.90233176644516155</v>
      </c>
      <c r="G21" s="10">
        <f>IFERROR(GetFZ(D21,dw_dry,c_eff,phi_eff,gamma,gammaw,beta),"-&gt; importa ModuloTrincee.bas")</f>
        <v>1.426126840902086</v>
      </c>
    </row>
    <row r="22" spans="2:13" x14ac:dyDescent="0.25">
      <c r="D22" s="10">
        <f>DATI_INPUT!$B$4*17/20</f>
        <v>7.65</v>
      </c>
      <c r="E22" s="10">
        <f>IFERROR(GetFZ(D22,dw_sat,c_eff,phi_eff,gamma,gammaw,beta),"-&gt; importa ModuloTrincee.bas")</f>
        <v>0.79222110440255389</v>
      </c>
      <c r="F22" s="10">
        <f>IFERROR(GetFZ(D22,dw_init,c_eff,phi_eff,gamma,gammaw,beta),"-&gt; importa ModuloTrincee.bas")</f>
        <v>0.89081782430032797</v>
      </c>
      <c r="G22" s="10">
        <f>IFERROR(GetFZ(D22,dw_dry,c_eff,phi_eff,gamma,gammaw,beta),"-&gt; importa ModuloTrincee.bas")</f>
        <v>1.3838014237891978</v>
      </c>
    </row>
    <row r="23" spans="2:13" x14ac:dyDescent="0.25">
      <c r="D23" s="10">
        <f>DATI_INPUT!$B$4*18/20</f>
        <v>8.1</v>
      </c>
      <c r="E23" s="10">
        <f>IFERROR(GetFZ(D23,dw_sat,c_eff,phi_eff,gamma,gammaw,beta),"-&gt; importa ModuloTrincee.bas")</f>
        <v>0.78746408471257845</v>
      </c>
      <c r="F23" s="10">
        <f>IFERROR(GetFZ(D23,dw_init,c_eff,phi_eff,gamma,gammaw,beta),"-&gt; importa ModuloTrincee.bas")</f>
        <v>0.88058320906047605</v>
      </c>
      <c r="G23" s="10">
        <f>IFERROR(GetFZ(D23,dw_dry,c_eff,phi_eff,gamma,gammaw,beta),"-&gt; importa ModuloTrincee.bas")</f>
        <v>1.3461788307999645</v>
      </c>
    </row>
    <row r="24" spans="2:13" x14ac:dyDescent="0.25">
      <c r="D24" s="10">
        <f>DATI_INPUT!$B$4*19/20</f>
        <v>8.5500000000000007</v>
      </c>
      <c r="E24" s="10">
        <f>IFERROR(GetFZ(D24,dw_sat,c_eff,phi_eff,gamma,gammaw,beta),"-&gt; importa ModuloTrincee.bas")</f>
        <v>0.78320780393733702</v>
      </c>
      <c r="F24" s="10">
        <f>IFERROR(GetFZ(D24,dw_init,c_eff,phi_eff,gamma,gammaw,beta),"-&gt; importa ModuloTrincee.bas")</f>
        <v>0.87142592174060851</v>
      </c>
      <c r="G24" s="10">
        <f>IFERROR(GetFZ(D24,dw_dry,c_eff,phi_eff,gamma,gammaw,beta),"-&gt; importa ModuloTrincee.bas")</f>
        <v>1.3125165107569658</v>
      </c>
    </row>
    <row r="25" spans="2:13" x14ac:dyDescent="0.25">
      <c r="D25" s="10">
        <f>DATI_INPUT!$B$4*20/20</f>
        <v>9</v>
      </c>
      <c r="E25" s="10">
        <f>IFERROR(GetFZ(D25,dw_sat,c_eff,phi_eff,gamma,gammaw,beta),"-&gt; importa ModuloTrincee.bas")</f>
        <v>0.77937715123961981</v>
      </c>
      <c r="F25" s="10">
        <f>IFERROR(GetFZ(D25,dw_init,c_eff,phi_eff,gamma,gammaw,beta),"-&gt; importa ModuloTrincee.bas")</f>
        <v>0.86318436315272773</v>
      </c>
      <c r="G25" s="10">
        <f>IFERROR(GetFZ(D25,dw_dry,c_eff,phi_eff,gamma,gammaw,beta),"-&gt; importa ModuloTrincee.bas")</f>
        <v>1.2822204227182672</v>
      </c>
      <c r="J25" s="4"/>
      <c r="K25" s="4"/>
      <c r="L25" s="4"/>
      <c r="M25" s="4"/>
    </row>
    <row r="27" spans="2:13" x14ac:dyDescent="0.25">
      <c r="B27" s="44" t="s">
        <v>57</v>
      </c>
      <c r="C27" s="44"/>
      <c r="D27" s="44"/>
      <c r="E27" s="44"/>
      <c r="F27" s="44"/>
      <c r="G27" s="44"/>
    </row>
    <row r="29" spans="2:13" x14ac:dyDescent="0.25">
      <c r="B29" s="1" t="s">
        <v>58</v>
      </c>
      <c r="C29" s="5">
        <f>DATI_INPUT!$B$23</f>
        <v>1.3</v>
      </c>
      <c r="D29" s="40" t="s">
        <v>36</v>
      </c>
      <c r="E29" s="41"/>
      <c r="F29" s="41"/>
      <c r="G29" s="41"/>
    </row>
    <row r="30" spans="2:13" x14ac:dyDescent="0.25">
      <c r="B30" s="1" t="s">
        <v>59</v>
      </c>
      <c r="C30" s="6">
        <f>mesi_target</f>
        <v>8</v>
      </c>
      <c r="D30" s="40" t="s">
        <v>124</v>
      </c>
      <c r="E30" s="41"/>
      <c r="F30" s="41"/>
      <c r="G30" s="41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1,1 raggiunto entro 8 mesi </v>
      </c>
      <c r="D31" s="40" t="s">
        <v>61</v>
      </c>
      <c r="E31" s="41"/>
      <c r="F31" s="41"/>
      <c r="G31" s="41"/>
    </row>
    <row r="33" spans="2:7" x14ac:dyDescent="0.25">
      <c r="B33" s="44" t="s">
        <v>62</v>
      </c>
      <c r="C33" s="44"/>
      <c r="D33" s="44"/>
      <c r="E33" s="44"/>
      <c r="F33" s="44"/>
      <c r="G33" s="44"/>
    </row>
    <row r="35" spans="2:7" x14ac:dyDescent="0.25">
      <c r="B35" s="1" t="s">
        <v>102</v>
      </c>
      <c r="C35" s="7">
        <f>IFERROR(GetFZ(D_piano,dw_init,c_eff,phi_eff,gamma,gammaw,beta),"-&gt; importa ModuloTrincee.bas")</f>
        <v>0.9414791697375956</v>
      </c>
      <c r="D35" s="40" t="s">
        <v>36</v>
      </c>
      <c r="E35" s="41"/>
      <c r="F35" s="41"/>
      <c r="G35" s="41"/>
    </row>
    <row r="36" spans="2:7" x14ac:dyDescent="0.25">
      <c r="B36" s="1" t="s">
        <v>63</v>
      </c>
      <c r="C36" s="7">
        <f>IFERROR(GetFZ(D_piano,dw_dry,c_eff,phi_eff,gamma,gammaw,beta),"-&gt; importa ModuloTrincee.bas")</f>
        <v>1.5700332590859047</v>
      </c>
      <c r="D36" s="40" t="s">
        <v>36</v>
      </c>
      <c r="E36" s="41"/>
      <c r="F36" s="41"/>
      <c r="G36" s="41"/>
    </row>
    <row r="37" spans="2:7" x14ac:dyDescent="0.25">
      <c r="B37" s="1" t="s">
        <v>64</v>
      </c>
      <c r="C37" s="8">
        <f>C29-C35</f>
        <v>0.35852083026240444</v>
      </c>
      <c r="D37" s="40" t="s">
        <v>36</v>
      </c>
      <c r="E37" s="41"/>
      <c r="F37" s="41"/>
      <c r="G37" s="41"/>
    </row>
    <row r="38" spans="2:7" x14ac:dyDescent="0.25">
      <c r="B38" s="1" t="s">
        <v>65</v>
      </c>
      <c r="C38" s="8">
        <f>C36-C35</f>
        <v>0.62855408934830914</v>
      </c>
      <c r="D38" s="40" t="s">
        <v>36</v>
      </c>
      <c r="E38" s="41"/>
      <c r="F38" s="41"/>
      <c r="G38" s="41"/>
    </row>
    <row r="39" spans="2:7" x14ac:dyDescent="0.25">
      <c r="B39" s="1" t="s">
        <v>66</v>
      </c>
      <c r="C39" s="7">
        <f>C37/C38</f>
        <v>0.5703897824197155</v>
      </c>
      <c r="D39" s="40" t="s">
        <v>36</v>
      </c>
      <c r="E39" s="41"/>
      <c r="F39" s="41"/>
      <c r="G39" s="41"/>
    </row>
    <row r="41" spans="2:7" x14ac:dyDescent="0.25">
      <c r="B41" s="44" t="s">
        <v>67</v>
      </c>
      <c r="C41" s="44"/>
      <c r="D41" s="44"/>
      <c r="E41" s="44"/>
      <c r="F41" s="44"/>
      <c r="G41" s="44"/>
    </row>
    <row r="43" spans="2:7" x14ac:dyDescent="0.25">
      <c r="B43" s="1" t="s">
        <v>68</v>
      </c>
      <c r="C43" s="6" t="str">
        <f>DATI_INPUT!$B$28&amp;" / "&amp;DATI_INPUT!$B$29</f>
        <v>1,5 / 1</v>
      </c>
      <c r="D43" s="40" t="s">
        <v>69</v>
      </c>
      <c r="E43" s="41"/>
      <c r="F43" s="41"/>
      <c r="G43" s="41"/>
    </row>
    <row r="44" spans="2:7" x14ac:dyDescent="0.25">
      <c r="B44" s="41" t="s">
        <v>107</v>
      </c>
      <c r="C44" s="41"/>
    </row>
    <row r="45" spans="2:7" x14ac:dyDescent="0.25">
      <c r="B45" s="1" t="s">
        <v>115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2.7218276853933929</v>
      </c>
      <c r="D45" s="40" t="s">
        <v>36</v>
      </c>
      <c r="E45" s="41"/>
      <c r="F45" s="41"/>
      <c r="G45" s="41"/>
    </row>
    <row r="46" spans="2:7" x14ac:dyDescent="0.25">
      <c r="B46" s="1" t="s">
        <v>116</v>
      </c>
      <c r="C46" s="31">
        <f>IF(ISNUMBER(C45),C45*H0,C45)</f>
        <v>16.330966112360358</v>
      </c>
      <c r="D46" s="40" t="s">
        <v>23</v>
      </c>
      <c r="E46" s="41"/>
      <c r="F46" s="41"/>
      <c r="G46" s="41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41" t="s">
        <v>108</v>
      </c>
      <c r="C48" s="41"/>
    </row>
    <row r="49" spans="2:7" x14ac:dyDescent="0.25">
      <c r="B49" s="1" t="s">
        <v>103</v>
      </c>
      <c r="C49" s="9">
        <v>15</v>
      </c>
      <c r="D49" s="40" t="s">
        <v>23</v>
      </c>
      <c r="E49" s="41"/>
      <c r="F49" s="41"/>
      <c r="G49" s="41"/>
    </row>
    <row r="50" spans="2:7" x14ac:dyDescent="0.25">
      <c r="B50" s="1" t="s">
        <v>104</v>
      </c>
      <c r="C50" s="6">
        <f>IFERROR(C49/H0,"")</f>
        <v>2.5</v>
      </c>
      <c r="D50" s="40" t="s">
        <v>36</v>
      </c>
      <c r="E50" s="41"/>
      <c r="F50" s="41"/>
      <c r="G50" s="41"/>
    </row>
    <row r="51" spans="2:7" x14ac:dyDescent="0.25">
      <c r="B51" s="1" t="s">
        <v>105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0.60360433249999978</v>
      </c>
      <c r="D51" s="40" t="s">
        <v>36</v>
      </c>
      <c r="E51" s="41"/>
      <c r="F51" s="41"/>
      <c r="G51" s="41"/>
    </row>
    <row r="52" spans="2:7" x14ac:dyDescent="0.25">
      <c r="B52" s="1" t="s">
        <v>106</v>
      </c>
      <c r="C52" s="7" t="str">
        <f>IF(OR(NOT(ISNUMBER(C51)),NOT(ISNUMBER(C39))),"-&gt; importa ModuloTrincee.bas",IF(C51&gt;=C39,"VERIFICATO: interasse scelto soddisfa F_target","NON VERIFICATO: ridurre interasse o rivedere F_target"))</f>
        <v>VERIFICATO: interasse scelto soddisfa F_target</v>
      </c>
      <c r="D52" s="42"/>
      <c r="E52" s="43"/>
      <c r="F52" s="43"/>
      <c r="G52" s="43"/>
    </row>
    <row r="54" spans="2:7" x14ac:dyDescent="0.25">
      <c r="B54" s="44" t="s">
        <v>70</v>
      </c>
      <c r="C54" s="44"/>
      <c r="D54" s="44"/>
      <c r="E54" s="44"/>
      <c r="F54" s="44"/>
      <c r="G54" s="44"/>
    </row>
    <row r="56" spans="2:7" x14ac:dyDescent="0.25">
      <c r="B56" s="1" t="s">
        <v>109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0.18846199981652903</v>
      </c>
      <c r="D56" s="40" t="s">
        <v>36</v>
      </c>
      <c r="E56" s="41"/>
      <c r="F56" s="41"/>
      <c r="G56" s="41"/>
    </row>
    <row r="57" spans="2:7" x14ac:dyDescent="0.25">
      <c r="B57" s="1" t="s">
        <v>110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2.6546631211364748</v>
      </c>
      <c r="D57" s="40" t="s">
        <v>36</v>
      </c>
      <c r="E57" s="41"/>
      <c r="F57" s="41"/>
      <c r="G57" s="41"/>
    </row>
    <row r="58" spans="2:7" x14ac:dyDescent="0.25">
      <c r="B58" s="1" t="s">
        <v>71</v>
      </c>
      <c r="C58" s="23">
        <f>IFERROR(C56*(2*(1+nu)*(1-2*nu)*gammaw*D_piano^2)/(Emod*kv)/(30*86400),"")</f>
        <v>2.1398289562501733</v>
      </c>
      <c r="D58" s="40" t="s">
        <v>45</v>
      </c>
      <c r="E58" s="41"/>
      <c r="F58" s="41"/>
      <c r="G58" s="41"/>
    </row>
    <row r="59" spans="2:7" x14ac:dyDescent="0.25">
      <c r="B59" s="1" t="s">
        <v>72</v>
      </c>
      <c r="C59" s="23">
        <f>IFERROR(C57*(2*(1+nu)*(1-2*nu)*gammaw*D_piano^2)/(Emod*kv)/(30*86400),"")</f>
        <v>30.14148752123706</v>
      </c>
      <c r="D59" s="40" t="s">
        <v>45</v>
      </c>
      <c r="E59" s="41"/>
      <c r="F59" s="41"/>
      <c r="G59" s="41"/>
    </row>
    <row r="60" spans="2:7" x14ac:dyDescent="0.25">
      <c r="B60" s="1" t="s">
        <v>111</v>
      </c>
      <c r="C60" s="8">
        <f>IFERROR(C51*C38,"")</f>
        <v>0.37939797154123134</v>
      </c>
      <c r="D60" s="40" t="s">
        <v>36</v>
      </c>
      <c r="E60" s="41"/>
      <c r="F60" s="41"/>
      <c r="G60" s="41"/>
    </row>
    <row r="61" spans="2:7" x14ac:dyDescent="0.25">
      <c r="B61" s="1" t="s">
        <v>112</v>
      </c>
      <c r="C61" s="7">
        <f>IFERROR(C35+C60,"")</f>
        <v>1.3208771412788269</v>
      </c>
      <c r="D61" s="40" t="s">
        <v>36</v>
      </c>
      <c r="E61" s="41"/>
      <c r="F61" s="41"/>
      <c r="G61" s="41"/>
    </row>
    <row r="62" spans="2:7" x14ac:dyDescent="0.25">
      <c r="B62" s="1" t="s">
        <v>113</v>
      </c>
      <c r="C62" s="8">
        <f>IFERROR(C35+0.5*C60,"")</f>
        <v>1.1311781555082112</v>
      </c>
      <c r="D62" s="40" t="s">
        <v>36</v>
      </c>
      <c r="E62" s="41"/>
      <c r="F62" s="41"/>
      <c r="G62" s="41"/>
    </row>
    <row r="63" spans="2:7" x14ac:dyDescent="0.25">
      <c r="B63" s="1" t="s">
        <v>114</v>
      </c>
      <c r="C63" s="8">
        <f>IFERROR(C35+0.9*C60,"")</f>
        <v>1.2829373441247038</v>
      </c>
      <c r="D63" s="40" t="s">
        <v>36</v>
      </c>
      <c r="E63" s="41"/>
      <c r="F63" s="41"/>
      <c r="G63" s="41"/>
    </row>
    <row r="64" spans="2:7" x14ac:dyDescent="0.25">
      <c r="B64" s="1" t="s">
        <v>123</v>
      </c>
      <c r="C64" s="7" t="str">
        <f>IF(AND(C62 &gt;= F_short, C58 &lt;= mesi_target), "VERIFICATO", "NON verificato")</f>
        <v>VERIFICATO</v>
      </c>
      <c r="D64" s="3"/>
    </row>
    <row r="66" spans="2:7" x14ac:dyDescent="0.25">
      <c r="B66" s="44" t="s">
        <v>73</v>
      </c>
      <c r="C66" s="44"/>
      <c r="D66" s="44"/>
      <c r="E66" s="44"/>
      <c r="F66" s="44"/>
      <c r="G66" s="44"/>
    </row>
    <row r="68" spans="2:7" x14ac:dyDescent="0.25">
      <c r="B68" s="1" t="s">
        <v>74</v>
      </c>
      <c r="C68" s="23">
        <f>IFERROR(C49*SQRT(DATI_INPUT!$B$11/DATI_INPUT!$B$10)/(2*DATI_INPUT!$B$6),"")</f>
        <v>1.25</v>
      </c>
      <c r="D68" s="40" t="s">
        <v>36</v>
      </c>
      <c r="E68" s="41"/>
      <c r="F68" s="41"/>
      <c r="G68" s="41"/>
    </row>
    <row r="69" spans="2:7" x14ac:dyDescent="0.25">
      <c r="B69" s="1" t="s">
        <v>75</v>
      </c>
      <c r="C69" s="23" cm="1">
        <f t="array" ref="C69">IF(ISNA(getqadim(C68)),
    "s fuori dal campo dell'abaco di portata (ammesso: "&amp;GetAbacoXRange("Q",0,0)&amp;")",
    IFERROR(getqadim(C68),"-&gt; importa ModuloTrincee.bas"))</f>
        <v>1.4245832020239257</v>
      </c>
      <c r="D69" s="40" t="s">
        <v>36</v>
      </c>
      <c r="E69" s="41"/>
      <c r="F69" s="41"/>
      <c r="G69" s="41"/>
    </row>
    <row r="70" spans="2:7" x14ac:dyDescent="0.25">
      <c r="B70" s="1" t="s">
        <v>76</v>
      </c>
      <c r="C70" s="24">
        <f>IFERROR(C69*DATI_INPUT!$B$11*DATI_INPUT!$B$6*1000*3600,"")</f>
        <v>0.18462598298230079</v>
      </c>
      <c r="D70" s="40" t="s">
        <v>77</v>
      </c>
      <c r="E70" s="41"/>
      <c r="F70" s="41"/>
      <c r="G70" s="41"/>
    </row>
    <row r="71" spans="2:7" x14ac:dyDescent="0.25">
      <c r="B71" s="1" t="s">
        <v>78</v>
      </c>
      <c r="C71" s="24">
        <f>IFERROR(C70*DATI_INPUT!$B$33,"")</f>
        <v>9.2312991491150402</v>
      </c>
      <c r="D71" s="40" t="s">
        <v>79</v>
      </c>
      <c r="E71" s="41"/>
      <c r="F71" s="41"/>
      <c r="G71" s="41"/>
    </row>
  </sheetData>
  <mergeCells count="36"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K28" sqref="K28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36" t="s">
        <v>84</v>
      </c>
      <c r="B1" s="36"/>
      <c r="C1" s="36"/>
      <c r="D1" s="36"/>
      <c r="E1" s="36"/>
      <c r="F1" s="3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37" t="s">
        <v>120</v>
      </c>
      <c r="H2" s="3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3" t="s">
        <v>119</v>
      </c>
      <c r="D4" s="3" t="s">
        <v>85</v>
      </c>
      <c r="E4" s="3" t="s">
        <v>86</v>
      </c>
      <c r="G4" s="27">
        <f>ANALISI!C50</f>
        <v>2.5</v>
      </c>
      <c r="H4" s="27" cm="1">
        <f t="array" ref="H4">GetEfficienza(B$2,I4,G4)</f>
        <v>0.59863853124999977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28">
        <f>G4</f>
        <v>2.5</v>
      </c>
      <c r="H5" s="28" cm="1">
        <f t="array" ref="H5">GetEfficienza(B$2,I5,G5)</f>
        <v>0.48746754375000001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P2" sqref="P2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36" t="s">
        <v>84</v>
      </c>
      <c r="B1" s="36"/>
      <c r="C1" s="36"/>
      <c r="D1" s="36"/>
      <c r="E1" s="36"/>
      <c r="F1" s="36"/>
      <c r="G1" s="36"/>
      <c r="H1" s="36"/>
      <c r="I1" s="36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117</v>
      </c>
      <c r="B2">
        <v>1.5</v>
      </c>
      <c r="D2" t="s">
        <v>117</v>
      </c>
      <c r="E2">
        <v>1.5</v>
      </c>
      <c r="G2" t="s">
        <v>117</v>
      </c>
      <c r="H2">
        <v>1.5</v>
      </c>
      <c r="J2" s="37" t="s">
        <v>120</v>
      </c>
      <c r="K2" s="37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95</v>
      </c>
      <c r="K3" s="26" t="s">
        <v>96</v>
      </c>
      <c r="L3" s="26" t="s">
        <v>80</v>
      </c>
    </row>
    <row r="4" spans="1:44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ANALISI!C50</f>
        <v>2.5</v>
      </c>
      <c r="K4" s="27" cm="1">
        <f t="array" ref="K4">GetEfficienza(B$2,L4,J4)</f>
        <v>0.69622806937500004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28">
        <f>J4</f>
        <v>2.5</v>
      </c>
      <c r="K5" s="28" cm="1">
        <f t="array" ref="K5">GetEfficienza(B$2,L5,J5)</f>
        <v>0.60360433249999978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2.5</v>
      </c>
      <c r="K6" s="27" cm="1">
        <f t="array" ref="K6">GetEfficienza(B$2,L6,J6)</f>
        <v>0.40197685124999999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B5" sqref="B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36" t="s">
        <v>84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37" t="s">
        <v>120</v>
      </c>
      <c r="N2" s="3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2.5</v>
      </c>
      <c r="N4" s="27" cm="1">
        <f t="array" ref="N4">GetEfficienza(B$2,O4,M4)</f>
        <v>0.70497948562500012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28">
        <f>M4</f>
        <v>2.5</v>
      </c>
      <c r="N5" s="28" cm="1">
        <f t="array" ref="N5">GetEfficienza(B$2,O5,M5)</f>
        <v>0.61116133249999993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30">
        <f>M5</f>
        <v>2.5</v>
      </c>
      <c r="N6" s="27" cm="1">
        <f t="array" ref="N6">GetEfficienza(B$2,O6,M6)</f>
        <v>0.40615135874999991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28">
        <f>M5</f>
        <v>2.5</v>
      </c>
      <c r="N7" s="28" cm="1">
        <f t="array" ref="N7">GetEfficienza(B$2,O7,M7)</f>
        <v>0.30604324999999999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36" t="s">
        <v>84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4</v>
      </c>
      <c r="D2" t="s">
        <v>117</v>
      </c>
      <c r="E2">
        <v>4</v>
      </c>
      <c r="G2" t="s">
        <v>117</v>
      </c>
      <c r="H2">
        <v>4</v>
      </c>
      <c r="J2" t="s">
        <v>117</v>
      </c>
      <c r="K2">
        <v>4</v>
      </c>
      <c r="M2" s="37" t="s">
        <v>120</v>
      </c>
      <c r="N2" s="3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2.5</v>
      </c>
      <c r="N4" s="27" cm="1">
        <f t="array" ref="N4">GetEfficienza(B$2,O4,M4)</f>
        <v>0.69403893906250014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28">
        <f>M4</f>
        <v>2.5</v>
      </c>
      <c r="N5" s="28" cm="1">
        <f t="array" ref="N5">GetEfficienza(B$2,O5,M5)</f>
        <v>0.60852397999999996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30">
        <f>M5</f>
        <v>2.5</v>
      </c>
      <c r="N6" s="27" cm="1">
        <f t="array" ref="N6">GetEfficienza(B$2,O6,M6)</f>
        <v>0.406518555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28">
        <f>M5</f>
        <v>2.5</v>
      </c>
      <c r="N7" s="28" cm="1">
        <f t="array" ref="N7">GetEfficienza(B$2,O7,M7)</f>
        <v>0.30491350874999995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workbookViewId="0">
      <selection activeCell="N2" sqref="N2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36" t="s">
        <v>84</v>
      </c>
      <c r="B1" s="36"/>
      <c r="C1" s="36"/>
      <c r="D1" s="36"/>
      <c r="E1" s="36"/>
      <c r="F1" s="3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37" t="s">
        <v>120</v>
      </c>
      <c r="H2" s="3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81</v>
      </c>
      <c r="D4" s="3" t="s">
        <v>118</v>
      </c>
      <c r="E4" s="15" t="s">
        <v>81</v>
      </c>
      <c r="G4" s="27">
        <f>ANALISI!C50</f>
        <v>2.5</v>
      </c>
      <c r="H4" s="27" cm="1">
        <f t="array" ref="H4">gett("T50",E$2,I$4,G4)</f>
        <v>0.20261310391323117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2.0761361193946106E-3</v>
      </c>
      <c r="D5">
        <v>0.50801507800000001</v>
      </c>
      <c r="E5" cm="1">
        <f t="array" ref="E5">gett("T50",E$2,E$3,D5)</f>
        <v>3.0989125887760679E-3</v>
      </c>
      <c r="G5" s="28">
        <f>G4</f>
        <v>2.5</v>
      </c>
      <c r="H5" s="28" cm="1">
        <f t="array" ref="H5">gett("T50",E$2,I$5,G5)</f>
        <v>0.31527698882290428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2.306653091824741E-3</v>
      </c>
      <c r="D6">
        <v>0.51768684499999995</v>
      </c>
      <c r="E6" cm="1">
        <f t="array" ref="E6">gett("T50",E$2,E$3,D6)</f>
        <v>3.6317659982168034E-3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2.864232947672885E-3</v>
      </c>
      <c r="D7">
        <v>0.56431970499999995</v>
      </c>
      <c r="E7" cm="1">
        <f t="array" ref="E7">gett("T50",E$2,E$3,D7)</f>
        <v>6.9718897945102165E-3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4.7485714721309837E-3</v>
      </c>
      <c r="D8">
        <v>0.62724407299999996</v>
      </c>
      <c r="E8" cm="1">
        <f t="array" ref="E8">gett("T50",E$2,E$3,D8)</f>
        <v>1.3052351470776389E-2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7.9186089957851771E-3</v>
      </c>
      <c r="D9">
        <v>0.71169048899999998</v>
      </c>
      <c r="E9" cm="1">
        <f t="array" ref="E9">gett("T50",E$2,E$3,D9)</f>
        <v>2.1788719566607797E-2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1.3952991949212385E-2</v>
      </c>
      <c r="D10">
        <v>0.80694529000000004</v>
      </c>
      <c r="E10" cm="1">
        <f t="array" ref="E10">gett("T50",E$2,E$3,D10)</f>
        <v>3.0745585906407521E-2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2.8115583182409663E-2</v>
      </c>
      <c r="D11">
        <v>0.98214213699999997</v>
      </c>
      <c r="E11" cm="1">
        <f t="array" ref="E11">gett("T50",E$2,E$3,D11)</f>
        <v>5.1421603277563413E-2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3.9622859628261599E-2</v>
      </c>
      <c r="D12">
        <v>1.2057083420000001</v>
      </c>
      <c r="E12" cm="1">
        <f t="array" ref="E12">gett("T50",E$2,E$3,D12)</f>
        <v>8.7993890704506958E-2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5.572060431682517E-2</v>
      </c>
      <c r="D13">
        <v>1.4456923450000001</v>
      </c>
      <c r="E13" cm="1">
        <f t="array" ref="E13">gett("T50",E$2,E$3,D13)</f>
        <v>0.13730476983166698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7.7962068863295597E-2</v>
      </c>
      <c r="D14">
        <v>1.6484942460000001</v>
      </c>
      <c r="E14" cm="1">
        <f t="array" ref="E14">gett("T50",E$2,E$3,D14)</f>
        <v>0.18238074903569121</v>
      </c>
    </row>
    <row r="15" spans="1:41" x14ac:dyDescent="0.25">
      <c r="A15">
        <v>1.6045661120000001</v>
      </c>
      <c r="B15" cm="1">
        <f t="array" ref="B15">gett("T50",B$2,B$3,A15)</f>
        <v>0.10353237615451689</v>
      </c>
      <c r="D15">
        <v>1.910284452</v>
      </c>
      <c r="E15" cm="1">
        <f t="array" ref="E15">gett("T50",E$2,E$3,D15)</f>
        <v>0.23702909152923068</v>
      </c>
    </row>
    <row r="16" spans="1:41" x14ac:dyDescent="0.25">
      <c r="A16">
        <v>1.8182079689999999</v>
      </c>
      <c r="B16" cm="1">
        <f t="array" ref="B16">gett("T50",B$2,B$3,A16)</f>
        <v>0.13207612349263481</v>
      </c>
      <c r="D16">
        <v>2.1294725780000001</v>
      </c>
      <c r="E16" cm="1">
        <f t="array" ref="E16">gett("T50",E$2,E$3,D16)</f>
        <v>0.2743146216448123</v>
      </c>
    </row>
    <row r="17" spans="1:5" x14ac:dyDescent="0.25">
      <c r="A17">
        <v>2.3850534890000001</v>
      </c>
      <c r="B17" cm="1">
        <f t="array" ref="B17">gett("T50",B$2,B$3,A17)</f>
        <v>0.19430814864433679</v>
      </c>
      <c r="D17">
        <v>2.3809279910000001</v>
      </c>
      <c r="E17" cm="1">
        <f t="array" ref="E17">gett("T50",E$2,E$3,D17)</f>
        <v>0.30494961018655997</v>
      </c>
    </row>
    <row r="18" spans="1:5" x14ac:dyDescent="0.25">
      <c r="A18">
        <v>2.7490655359999998</v>
      </c>
      <c r="B18" cm="1">
        <f t="array" ref="B18">gett("T50",B$2,B$3,A18)</f>
        <v>0.21516454860841527</v>
      </c>
      <c r="D18">
        <v>2.6110507919999999</v>
      </c>
      <c r="E18" cm="1">
        <f t="array" ref="E18">gett("T50",E$2,E$3,D18)</f>
        <v>0.32301248884248696</v>
      </c>
    </row>
    <row r="19" spans="1:5" x14ac:dyDescent="0.25">
      <c r="A19">
        <v>3.113235446</v>
      </c>
      <c r="B19" cm="1">
        <f t="array" ref="B19">gett("T50",B$2,B$3,A19)</f>
        <v>0.22279349184855821</v>
      </c>
      <c r="D19">
        <v>2.9591186309999999</v>
      </c>
      <c r="E19" cm="1">
        <f t="array" ref="E19">gett("T50",E$2,E$3,D19)</f>
        <v>0.34037214805997557</v>
      </c>
    </row>
    <row r="20" spans="1:5" x14ac:dyDescent="0.25">
      <c r="A20">
        <v>3.3864339170000002</v>
      </c>
      <c r="B20" cm="1">
        <f t="array" ref="B20">gett("T50",B$2,B$3,A20)</f>
        <v>0.22410737406659911</v>
      </c>
      <c r="D20">
        <v>3.2376107890000001</v>
      </c>
      <c r="E20" cm="1">
        <f t="array" ref="E20">gett("T50",E$2,E$3,D20)</f>
        <v>0.34902764868080355</v>
      </c>
    </row>
    <row r="21" spans="1:5" x14ac:dyDescent="0.25">
      <c r="A21">
        <v>3.7025501959999998</v>
      </c>
      <c r="B21" cm="1">
        <f t="array" ref="B21">gett("T50",B$2,B$3,A21)</f>
        <v>0.22448404857825069</v>
      </c>
      <c r="D21">
        <v>3.612652229</v>
      </c>
      <c r="E21" cm="1">
        <f t="array" ref="E21">gett("T50",E$2,E$3,D21)</f>
        <v>0.35439101237927623</v>
      </c>
    </row>
    <row r="22" spans="1:5" x14ac:dyDescent="0.25">
      <c r="A22">
        <v>4.1043126540000001</v>
      </c>
      <c r="B22" cm="1">
        <f t="array" ref="B22">gett("T50",B$2,B$3,A22)</f>
        <v>0.2239279978117085</v>
      </c>
      <c r="D22">
        <v>3.960846359</v>
      </c>
      <c r="E22" cm="1">
        <f t="array" ref="E22">gett("T50",E$2,E$3,D22)</f>
        <v>0.35434469993269757</v>
      </c>
    </row>
    <row r="23" spans="1:5" x14ac:dyDescent="0.25">
      <c r="A23">
        <v>4.4525383559999998</v>
      </c>
      <c r="B23" cm="1">
        <f t="array" ref="B23">gett("T50",B$2,B$3,A23)</f>
        <v>0.22284777375884146</v>
      </c>
      <c r="D23">
        <v>4.2555037330000003</v>
      </c>
      <c r="E23" cm="1">
        <f t="array" ref="E23">gett("T50",E$2,E$3,D23)</f>
        <v>0.35180307277763095</v>
      </c>
    </row>
    <row r="24" spans="1:5" x14ac:dyDescent="0.25">
      <c r="A24">
        <v>4.843555576</v>
      </c>
      <c r="B24" cm="1">
        <f t="array" ref="B24">gett("T50",B$2,B$3,A24)</f>
        <v>0.22137408330896013</v>
      </c>
      <c r="D24">
        <v>4.5500979629999998</v>
      </c>
      <c r="E24" cm="1">
        <f t="array" ref="E24">gett("T50",E$2,E$3,D24)</f>
        <v>0.34809233406504952</v>
      </c>
    </row>
    <row r="25" spans="1:5" x14ac:dyDescent="0.25">
      <c r="A25">
        <v>5.1703223749999996</v>
      </c>
      <c r="B25" cm="1">
        <f t="array" ref="B25">gett("T50",B$2,B$3,A25)</f>
        <v>0.22022980762788449</v>
      </c>
      <c r="D25">
        <v>4.828653267</v>
      </c>
      <c r="E25" cm="1">
        <f t="array" ref="E25">gett("T50",E$2,E$3,D25)</f>
        <v>0.3444462056745855</v>
      </c>
    </row>
    <row r="26" spans="1:5" x14ac:dyDescent="0.25">
      <c r="A26">
        <v>5.5131280990000002</v>
      </c>
      <c r="B26" cm="1">
        <f t="array" ref="B26">gett("T50",B$2,B$3,A26)</f>
        <v>0.21939950654332652</v>
      </c>
      <c r="D26">
        <v>5.0428634319999999</v>
      </c>
      <c r="E26" cm="1">
        <f t="array" ref="E26">gett("T50",E$2,E$3,D26)</f>
        <v>0.34209387490000487</v>
      </c>
    </row>
    <row r="27" spans="1:5" x14ac:dyDescent="0.25">
      <c r="A27">
        <v>5.8449999999999998</v>
      </c>
      <c r="B27" cm="1">
        <f t="array" ref="B27">gett("T50",B$2,B$3,A27)</f>
        <v>0.21921613523192873</v>
      </c>
      <c r="D27">
        <v>5.3107050710000001</v>
      </c>
      <c r="E27" cm="1">
        <f t="array" ref="E27">gett("T50",E$2,E$3,D27)</f>
        <v>0.34032579473122654</v>
      </c>
    </row>
    <row r="28" spans="1:5" x14ac:dyDescent="0.25">
      <c r="A28" s="29"/>
      <c r="D28">
        <v>5.6214645169999997</v>
      </c>
      <c r="E28" cm="1">
        <f t="array" ref="E28">gett("T50",E$2,E$3,D28)</f>
        <v>0.3408060029597702</v>
      </c>
    </row>
    <row r="29" spans="1:5" x14ac:dyDescent="0.25">
      <c r="A29" s="29"/>
      <c r="D29">
        <v>5.9161218919999996</v>
      </c>
      <c r="E29" cm="1">
        <f t="array" ref="E29">gett("T50",E$2,E$3,D29)</f>
        <v>0.34480225352541488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workbookViewId="0">
      <selection activeCell="M3" sqref="M3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36" t="s">
        <v>84</v>
      </c>
      <c r="B1" s="36"/>
      <c r="C1" s="36"/>
      <c r="D1" s="36"/>
      <c r="E1" s="36"/>
      <c r="F1" s="3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37" t="s">
        <v>120</v>
      </c>
      <c r="H2" s="3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82</v>
      </c>
      <c r="D4" s="3" t="s">
        <v>118</v>
      </c>
      <c r="E4" s="15" t="s">
        <v>82</v>
      </c>
      <c r="G4" s="27">
        <f>ANALISI!C50</f>
        <v>2.5</v>
      </c>
      <c r="H4" s="27" cm="1">
        <f t="array" ref="H4">gett("T90",E$2,I$4,G4)</f>
        <v>3.3892672929862857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5.8699959728448312E-2</v>
      </c>
      <c r="D5">
        <v>0.50947794599999996</v>
      </c>
      <c r="E5" cm="1">
        <f t="array" ref="E5">gett("T90",E$2,E$3,D5)</f>
        <v>6.5332005076354074E-2</v>
      </c>
      <c r="G5" s="28">
        <f>G4</f>
        <v>2.5</v>
      </c>
      <c r="H5" s="28" cm="1">
        <f t="array" ref="H5">gett("T90",E$2,I$5,G5)</f>
        <v>3.7145173420375786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6.9435467375133009E-2</v>
      </c>
      <c r="D6">
        <v>0.545776013</v>
      </c>
      <c r="E6" cm="1">
        <f t="array" ref="E6">gett("T90",E$2,E$3,D6)</f>
        <v>8.3024503430367991E-2</v>
      </c>
      <c r="G6" s="25"/>
      <c r="H6" s="25"/>
    </row>
    <row r="7" spans="1:41" x14ac:dyDescent="0.25">
      <c r="A7">
        <v>0.613994068</v>
      </c>
      <c r="B7" cm="1">
        <f t="array" ref="B7">gett("T90",B$2,B$3,A7)</f>
        <v>0.11606187181669959</v>
      </c>
      <c r="D7">
        <v>0.61957190900000003</v>
      </c>
      <c r="E7" cm="1">
        <f t="array" ref="E7">gett("T90",E$2,E$3,D7)</f>
        <v>0.13029319989368909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0.18721953644793063</v>
      </c>
      <c r="D8">
        <v>0.68823198200000002</v>
      </c>
      <c r="E8" cm="1">
        <f t="array" ref="E8">gett("T90",E$2,E$3,D8)</f>
        <v>0.19003663514718383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0.28977326535010867</v>
      </c>
      <c r="D9">
        <v>0.78354992800000001</v>
      </c>
      <c r="E9" cm="1">
        <f t="array" ref="E9">gett("T90",E$2,E$3,D9)</f>
        <v>0.30154604169485771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0.4527414233091091</v>
      </c>
      <c r="D10">
        <v>0.88447728800000003</v>
      </c>
      <c r="E10" cm="1">
        <f t="array" ref="E10">gett("T90",E$2,E$3,D10)</f>
        <v>0.45734108198958784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0.70797371897826966</v>
      </c>
      <c r="D11">
        <v>0.98543622099999995</v>
      </c>
      <c r="E11" cm="1">
        <f t="array" ref="E11">gett("T90",E$2,E$3,D11)</f>
        <v>0.64880569794929766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1.0428460314807526</v>
      </c>
      <c r="D12">
        <v>1.1558129699999999</v>
      </c>
      <c r="E12" cm="1">
        <f t="array" ref="E12">gett("T90",E$2,E$3,D12)</f>
        <v>1.0275143347352405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1.3073476270523949</v>
      </c>
      <c r="D13">
        <v>1.363719122</v>
      </c>
      <c r="E13" cm="1">
        <f t="array" ref="E13">gett("T90",E$2,E$3,D13)</f>
        <v>1.5117576933089074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1.6458047026120828</v>
      </c>
      <c r="D14">
        <v>1.582528376</v>
      </c>
      <c r="E14" cm="1">
        <f t="array" ref="E14">gett("T90",E$2,E$3,D14)</f>
        <v>1.9766461734356795</v>
      </c>
    </row>
    <row r="15" spans="1:41" x14ac:dyDescent="0.25">
      <c r="A15">
        <v>1.790529246</v>
      </c>
      <c r="B15" cm="1">
        <f t="array" ref="B15">gett("T90",B$2,B$3,A15)</f>
        <v>2.0912104717920403</v>
      </c>
      <c r="D15">
        <v>1.801495493</v>
      </c>
      <c r="E15" cm="1">
        <f t="array" ref="E15">gett("T90",E$2,E$3,D15)</f>
        <v>2.4153043030533041</v>
      </c>
    </row>
    <row r="16" spans="1:41" x14ac:dyDescent="0.25">
      <c r="A16">
        <v>2.0096226540000002</v>
      </c>
      <c r="B16" cm="1">
        <f t="array" ref="B16">gett("T90",B$2,B$3,A16)</f>
        <v>2.5227166644195322</v>
      </c>
      <c r="D16">
        <v>2.0419530859999999</v>
      </c>
      <c r="E16" cm="1">
        <f t="array" ref="E16">gett("T90",E$2,E$3,D16)</f>
        <v>2.8949719502216373</v>
      </c>
    </row>
    <row r="17" spans="1:5" x14ac:dyDescent="0.25">
      <c r="A17">
        <v>2.239556018</v>
      </c>
      <c r="B17" cm="1">
        <f t="array" ref="B17">gett("T90",B$2,B$3,A17)</f>
        <v>2.9552561345073638</v>
      </c>
      <c r="D17">
        <v>2.3361368709999999</v>
      </c>
      <c r="E17" cm="1">
        <f t="array" ref="E17">gett("T90",E$2,E$3,D17)</f>
        <v>3.442525116859056</v>
      </c>
    </row>
    <row r="18" spans="1:5" x14ac:dyDescent="0.25">
      <c r="A18">
        <v>2.491011431</v>
      </c>
      <c r="B18" cm="1">
        <f t="array" ref="B18">gett("T90",B$2,B$3,A18)</f>
        <v>3.3755725537633894</v>
      </c>
      <c r="D18">
        <v>2.6946657940000001</v>
      </c>
      <c r="E18" cm="1">
        <f t="array" ref="E18">gett("T90",E$2,E$3,D18)</f>
        <v>3.9983191892212222</v>
      </c>
    </row>
    <row r="19" spans="1:5" x14ac:dyDescent="0.25">
      <c r="A19">
        <v>2.7104837110000002</v>
      </c>
      <c r="B19" cm="1">
        <f t="array" ref="B19">gett("T90",B$2,B$3,A19)</f>
        <v>3.6797802496988203</v>
      </c>
      <c r="D19">
        <v>2.9462790710000002</v>
      </c>
      <c r="E19" cm="1">
        <f t="array" ref="E19">gett("T90",E$2,E$3,D19)</f>
        <v>4.2956751269185816</v>
      </c>
    </row>
    <row r="20" spans="1:5" x14ac:dyDescent="0.25">
      <c r="A20">
        <v>2.9567085820000001</v>
      </c>
      <c r="B20" cm="1">
        <f t="array" ref="B20">gett("T90",B$2,B$3,A20)</f>
        <v>3.9419275493143173</v>
      </c>
      <c r="D20">
        <v>3.321099501</v>
      </c>
      <c r="E20" cm="1">
        <f t="array" ref="E20">gett("T90",E$2,E$3,D20)</f>
        <v>4.5961323753895709</v>
      </c>
    </row>
    <row r="21" spans="1:5" x14ac:dyDescent="0.25">
      <c r="A21">
        <v>3.1923145060000002</v>
      </c>
      <c r="B21" cm="1">
        <f t="array" ref="B21">gett("T90",B$2,B$3,A21)</f>
        <v>4.1152301430798506</v>
      </c>
      <c r="D21">
        <v>3.6103368979999999</v>
      </c>
      <c r="E21" cm="1">
        <f t="array" ref="E21">gett("T90",E$2,E$3,D21)</f>
        <v>4.7310905107991932</v>
      </c>
    </row>
    <row r="22" spans="1:5" x14ac:dyDescent="0.25">
      <c r="A22">
        <v>3.4333404079999998</v>
      </c>
      <c r="B22" cm="1">
        <f t="array" ref="B22">gett("T90",B$2,B$3,A22)</f>
        <v>4.22368893922952</v>
      </c>
      <c r="D22">
        <v>3.8192533759999998</v>
      </c>
      <c r="E22" cm="1">
        <f t="array" ref="E22">gett("T90",E$2,E$3,D22)</f>
        <v>4.7925392548503378</v>
      </c>
    </row>
    <row r="23" spans="1:5" x14ac:dyDescent="0.25">
      <c r="A23">
        <v>3.6475505730000002</v>
      </c>
      <c r="B23" cm="1">
        <f t="array" ref="B23">gett("T90",B$2,B$3,A23)</f>
        <v>4.2745706557077998</v>
      </c>
      <c r="D23">
        <v>4.1567022680000001</v>
      </c>
      <c r="E23" cm="1">
        <f t="array" ref="E23">gett("T90",E$2,E$3,D23)</f>
        <v>4.8530053009772187</v>
      </c>
    </row>
    <row r="24" spans="1:5" x14ac:dyDescent="0.25">
      <c r="A24">
        <v>3.8564670510000001</v>
      </c>
      <c r="B24" cm="1">
        <f t="array" ref="B24">gett("T90",B$2,B$3,A24)</f>
        <v>4.296766151153852</v>
      </c>
      <c r="D24">
        <v>4.4084734079999999</v>
      </c>
      <c r="E24" cm="1">
        <f t="array" ref="E24">gett("T90",E$2,E$3,D24)</f>
        <v>4.8731783149623178</v>
      </c>
    </row>
    <row r="25" spans="1:5" x14ac:dyDescent="0.25">
      <c r="A25">
        <v>4.1296339499999997</v>
      </c>
      <c r="B25" cm="1">
        <f t="array" ref="B25">gett("T90",B$2,B$3,A25)</f>
        <v>4.308453663907402</v>
      </c>
      <c r="D25">
        <v>4.6869971389999998</v>
      </c>
      <c r="E25" cm="1">
        <f t="array" ref="E25">gett("T90",E$2,E$3,D25)</f>
        <v>4.8762756872628295</v>
      </c>
    </row>
    <row r="26" spans="1:5" x14ac:dyDescent="0.25">
      <c r="A26">
        <v>4.4295850120000004</v>
      </c>
      <c r="B26" cm="1">
        <f t="array" ref="B26">gett("T90",B$2,B$3,A26)</f>
        <v>4.3325038217611915</v>
      </c>
      <c r="D26">
        <v>4.9387367070000003</v>
      </c>
      <c r="E26" cm="1">
        <f t="array" ref="E26">gett("T90",E$2,E$3,D26)</f>
        <v>4.866547006196031</v>
      </c>
    </row>
    <row r="27" spans="1:5" x14ac:dyDescent="0.25">
      <c r="A27">
        <v>4.7295360740000003</v>
      </c>
      <c r="B27" cm="1">
        <f t="array" ref="B27">gett("T90",B$2,B$3,A27)</f>
        <v>4.375684352940775</v>
      </c>
      <c r="D27">
        <v>5.1422647789999996</v>
      </c>
      <c r="E27" cm="1">
        <f t="array" ref="E27">gett("T90",E$2,E$3,D27)</f>
        <v>4.8531966770620008</v>
      </c>
    </row>
    <row r="28" spans="1:5" x14ac:dyDescent="0.25">
      <c r="A28">
        <v>4.9812756419999999</v>
      </c>
      <c r="B28" cm="1">
        <f t="array" ref="B28">gett("T90",B$2,B$3,A28)</f>
        <v>4.4102778079676064</v>
      </c>
      <c r="D28">
        <v>5.4744199829999998</v>
      </c>
      <c r="E28" cm="1">
        <f t="array" ref="E28">gett("T90",E$2,E$3,D28)</f>
        <v>4.8274790127735043</v>
      </c>
    </row>
    <row r="29" spans="1:5" x14ac:dyDescent="0.25">
      <c r="A29">
        <v>5.3187561060000004</v>
      </c>
      <c r="B29" cm="1">
        <f t="array" ref="B29">gett("T90",B$2,B$3,A29)</f>
        <v>4.4275416642478564</v>
      </c>
      <c r="D29">
        <v>5.7744341910000001</v>
      </c>
      <c r="E29" cm="1">
        <f t="array" ref="E29">gett("T90",E$2,E$3,D29)</f>
        <v>4.8074247057332391</v>
      </c>
    </row>
    <row r="30" spans="1:5" x14ac:dyDescent="0.25">
      <c r="A30">
        <v>5.5759472240000001</v>
      </c>
      <c r="B30" cm="1">
        <f t="array" ref="B30">gett("T90",B$2,B$3,A30)</f>
        <v>4.3986971060193216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4.2814893656348794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Q4" sqref="Q4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36" t="s">
        <v>84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37" t="s">
        <v>120</v>
      </c>
      <c r="N2" s="3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2.5</v>
      </c>
      <c r="N4" s="27" cm="1">
        <f t="array" ref="N4">gett("T50",E$2,O$4,M4)</f>
        <v>0.12505250388889821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28">
        <f>M4</f>
        <v>2.5</v>
      </c>
      <c r="N5" s="28" cm="1">
        <f t="array" ref="N5">gett("T50",E$2,O$5,M5)</f>
        <v>0.18846199981652903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27">
        <f>M5</f>
        <v>2.5</v>
      </c>
      <c r="N6" s="27" cm="1">
        <f t="array" ref="N6">gett("T50",E$2,O$6,M6)</f>
        <v>0.9350477335751991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28">
        <f>M6</f>
        <v>2.5</v>
      </c>
      <c r="N7" s="28" cm="1">
        <f t="array" ref="N7">gett("T50",E$2,O$7,M7)</f>
        <v>1.4629907179962951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O31" sqref="O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36" t="s">
        <v>84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37" t="s">
        <v>120</v>
      </c>
      <c r="N2" s="3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2.5</v>
      </c>
      <c r="N4" s="27" cm="1">
        <f t="array" ref="N4">gett("T90",E$2,O$4,M4)</f>
        <v>1.9201112403645975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28">
        <f>M4</f>
        <v>2.5</v>
      </c>
      <c r="N5" s="28" cm="1">
        <f t="array" ref="N5">gett("T90",E$2,O$5,M5)</f>
        <v>2.6546631211364748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2.5</v>
      </c>
      <c r="N6" s="27" cm="1">
        <f t="array" ref="N6">gett("T90",E$2,O$6,M6)</f>
        <v>3.8684792970592765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28">
        <f>M6</f>
        <v>2.5</v>
      </c>
      <c r="N7" s="28" cm="1">
        <f t="array" ref="N7">gett("T90",E$2,O$7,M7)</f>
        <v>4.3971406149947496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K3" sqref="K3"/>
    </sheetView>
  </sheetViews>
  <sheetFormatPr defaultColWidth="8.7109375" defaultRowHeight="15" x14ac:dyDescent="0.25"/>
  <sheetData>
    <row r="1" spans="1:6" x14ac:dyDescent="0.25">
      <c r="A1" s="36" t="s">
        <v>87</v>
      </c>
      <c r="B1" s="36"/>
      <c r="C1" s="36"/>
      <c r="D1" s="36"/>
    </row>
    <row r="3" spans="1:6" x14ac:dyDescent="0.25">
      <c r="A3" s="3" t="s">
        <v>88</v>
      </c>
      <c r="B3" s="3" t="s">
        <v>89</v>
      </c>
      <c r="E3" s="37" t="s">
        <v>120</v>
      </c>
      <c r="F3" s="37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ANALISI!C68</f>
        <v>1.25</v>
      </c>
      <c r="F5" s="27">
        <f>IFERROR(getqadim(E5),"")</f>
        <v>1.4245832020239257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2026-07-10T15:20:06Z</dcterms:modified>
  <dc:language>en-US</dc:language>
</cp:coreProperties>
</file>