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AC0E07CF-D8C6-4810-8D19-AF3AED806A7B}" xr6:coauthVersionLast="47" xr6:coauthVersionMax="47" xr10:uidLastSave="{00000000-0000-0000-0000-000000000000}"/>
  <bookViews>
    <workbookView xWindow="-120" yWindow="-120" windowWidth="29040" windowHeight="15720" activeTab="2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ANALISI!$B$1:$G$73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2" i="3" l="1"/>
  <c r="M4" i="16" s="1"/>
  <c r="E5" i="7"/>
  <c r="C43" i="3"/>
  <c r="E29" i="14" a="1"/>
  <c r="E28" i="14" a="1"/>
  <c r="E27" i="14" a="1"/>
  <c r="E26" i="14" a="1"/>
  <c r="E25" i="14" a="1"/>
  <c r="E24" i="14" a="1"/>
  <c r="E23" i="14" a="1"/>
  <c r="E22" i="14" a="1"/>
  <c r="E21" i="14" a="1"/>
  <c r="E20" i="14" a="1"/>
  <c r="E19" i="14" a="1"/>
  <c r="E18" i="14" a="1"/>
  <c r="E17" i="14" a="1"/>
  <c r="E16" i="14" a="1"/>
  <c r="E15" i="14" a="1"/>
  <c r="E14" i="14" a="1"/>
  <c r="E13" i="14" a="1"/>
  <c r="E12" i="14" a="1"/>
  <c r="E11" i="14" a="1"/>
  <c r="E10" i="14" a="1"/>
  <c r="E9" i="14" a="1"/>
  <c r="E8" i="14" a="1"/>
  <c r="E7" i="14" a="1"/>
  <c r="E6" i="14" a="1"/>
  <c r="E5" i="14" a="1"/>
  <c r="B31" i="14" a="1"/>
  <c r="B30" i="14" a="1"/>
  <c r="B29" i="14" a="1"/>
  <c r="B28" i="14" a="1"/>
  <c r="B27" i="14" a="1"/>
  <c r="B26" i="14" a="1"/>
  <c r="B25" i="14" a="1"/>
  <c r="B24" i="14" a="1"/>
  <c r="B23" i="14" a="1"/>
  <c r="B22" i="14" a="1"/>
  <c r="B21" i="14" a="1"/>
  <c r="B20" i="14" a="1"/>
  <c r="B19" i="14" a="1"/>
  <c r="B18" i="14" a="1"/>
  <c r="B17" i="14" a="1"/>
  <c r="B16" i="14" a="1"/>
  <c r="B15" i="14" a="1"/>
  <c r="B14" i="14" a="1"/>
  <c r="B13" i="14" a="1"/>
  <c r="B12" i="14" a="1"/>
  <c r="B11" i="14" a="1"/>
  <c r="B10" i="14" a="1"/>
  <c r="B9" i="14" a="1"/>
  <c r="B8" i="14" a="1"/>
  <c r="B7" i="14" a="1"/>
  <c r="B6" i="14" a="1"/>
  <c r="B5" i="14" a="1"/>
  <c r="B27" i="13" a="1"/>
  <c r="B26" i="13" a="1"/>
  <c r="B25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B11" i="13" a="1"/>
  <c r="B10" i="13" a="1"/>
  <c r="B9" i="13" a="1"/>
  <c r="B8" i="13" a="1"/>
  <c r="B7" i="13" a="1"/>
  <c r="B6" i="13" a="1"/>
  <c r="B5" i="13" a="1"/>
  <c r="E29" i="13" a="1"/>
  <c r="E28" i="13" a="1"/>
  <c r="E27" i="13" a="1"/>
  <c r="E26" i="13" a="1"/>
  <c r="E25" i="13" a="1"/>
  <c r="E24" i="13" a="1"/>
  <c r="E23" i="13" a="1"/>
  <c r="E22" i="13" a="1"/>
  <c r="E21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6" i="13" a="1"/>
  <c r="E5" i="13" a="1"/>
  <c r="C36" i="3"/>
  <c r="C58" i="3" a="1"/>
  <c r="C53" i="3" a="1"/>
  <c r="C59" i="3" a="1"/>
  <c r="C59" i="3" l="1"/>
  <c r="M4" i="11"/>
  <c r="G4" i="14"/>
  <c r="M4" i="15"/>
  <c r="M4" i="12"/>
  <c r="G4" i="8"/>
  <c r="J4" i="10"/>
  <c r="G4" i="13"/>
  <c r="C53" i="3"/>
  <c r="C58" i="3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H4" i="8" a="1"/>
  <c r="H4" i="8" l="1"/>
  <c r="G5" i="8"/>
  <c r="C51" i="3"/>
  <c r="C31" i="3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H5" i="8" a="1"/>
  <c r="H5" i="8" l="1"/>
  <c r="C54" i="3"/>
  <c r="C60" i="3"/>
  <c r="C61" i="3"/>
  <c r="E5" i="8"/>
  <c r="B5" i="8"/>
  <c r="H5" i="10"/>
  <c r="E5" i="10"/>
  <c r="B5" i="10"/>
  <c r="E5" i="11"/>
  <c r="K5" i="12"/>
  <c r="H5" i="12"/>
  <c r="E5" i="12"/>
  <c r="B5" i="12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C70" i="3"/>
  <c r="E9" i="10" a="1"/>
  <c r="H12" i="12" a="1"/>
  <c r="B26" i="15" a="1"/>
  <c r="H14" i="11" a="1"/>
  <c r="K6" i="11" a="1"/>
  <c r="B29" i="12" a="1"/>
  <c r="E14" i="12" a="1"/>
  <c r="K11" i="11" a="1"/>
  <c r="K13" i="16" a="1"/>
  <c r="B14" i="15" a="1"/>
  <c r="H13" i="11" a="1"/>
  <c r="B20" i="11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K7" i="12" a="1"/>
  <c r="E17" i="12" a="1"/>
  <c r="E19" i="12" a="1"/>
  <c r="K13" i="12" a="1"/>
  <c r="B7" i="12" a="1"/>
  <c r="B8" i="12" a="1"/>
  <c r="B15" i="8" a="1"/>
  <c r="H16" i="12" a="1"/>
  <c r="H10" i="11" a="1"/>
  <c r="H9" i="10" a="1"/>
  <c r="K14" i="12" a="1"/>
  <c r="H15" i="12" a="1"/>
  <c r="B26" i="11" a="1"/>
  <c r="B13" i="7"/>
  <c r="H6" i="11" a="1"/>
  <c r="H17" i="10" a="1"/>
  <c r="B26" i="12" a="1"/>
  <c r="B23" i="15" a="1"/>
  <c r="B15" i="7"/>
  <c r="E8" i="12" a="1"/>
  <c r="B19" i="8" a="1"/>
  <c r="H22" i="12" a="1"/>
  <c r="K14" i="11" a="1"/>
  <c r="K24" i="12" a="1"/>
  <c r="B20" i="12" a="1"/>
  <c r="H12" i="11" a="1"/>
  <c r="E6" i="12" a="1"/>
  <c r="B16" i="7"/>
  <c r="H7" i="11" a="1"/>
  <c r="B9" i="15" a="1"/>
  <c r="E10" i="10" a="1"/>
  <c r="B24" i="8" a="1"/>
  <c r="K18" i="12" a="1"/>
  <c r="B18" i="15" a="1"/>
  <c r="B23" i="12" a="1"/>
  <c r="H10" i="12" a="1"/>
  <c r="B20" i="8" a="1"/>
  <c r="K7" i="11" a="1"/>
  <c r="E16" i="8" a="1"/>
  <c r="H8" i="10" a="1"/>
  <c r="E23" i="8" a="1"/>
  <c r="B29" i="15" a="1"/>
  <c r="E16" i="11" a="1"/>
  <c r="E15" i="12" a="1"/>
  <c r="B21" i="11" a="1"/>
  <c r="B6" i="11" a="1"/>
  <c r="H17" i="16" a="1"/>
  <c r="E12" i="11" a="1"/>
  <c r="E13" i="10" a="1"/>
  <c r="B25" i="8" a="1"/>
  <c r="E11" i="12" a="1"/>
  <c r="B9" i="11" a="1"/>
  <c r="E21" i="11" a="1"/>
  <c r="B5" i="7"/>
  <c r="E12" i="12" a="1"/>
  <c r="K13" i="11" a="1"/>
  <c r="E16" i="10" a="1"/>
  <c r="B9" i="12" a="1"/>
  <c r="H21" i="12" a="1"/>
  <c r="E17" i="8" a="1"/>
  <c r="H15" i="11" a="1"/>
  <c r="H18" i="11" a="1"/>
  <c r="B28" i="11" a="1"/>
  <c r="H28" i="16" a="1"/>
  <c r="H24" i="10" a="1"/>
  <c r="K23" i="12" a="1"/>
  <c r="K8" i="12" a="1"/>
  <c r="H23" i="16" a="1"/>
  <c r="K12" i="12" a="1"/>
  <c r="B16" i="12" a="1"/>
  <c r="B22" i="11" a="1"/>
  <c r="E19" i="8" a="1"/>
  <c r="B19" i="11" a="1"/>
  <c r="H21" i="16" a="1"/>
  <c r="E11" i="8" a="1"/>
  <c r="B17" i="11" a="1"/>
  <c r="K17" i="11" a="1"/>
  <c r="H24" i="12" a="1"/>
  <c r="B12" i="11" a="1"/>
  <c r="E19" i="11" a="1"/>
  <c r="K23" i="16" a="1"/>
  <c r="E9" i="8" a="1"/>
  <c r="K24" i="16" a="1"/>
  <c r="E11" i="10" a="1"/>
  <c r="H18" i="10" a="1"/>
  <c r="E10" i="8" a="1"/>
  <c r="H19" i="11" a="1"/>
  <c r="B7" i="10" a="1"/>
  <c r="K20" i="16" a="1"/>
  <c r="E25" i="12" a="1"/>
  <c r="K6" i="12" a="1"/>
  <c r="E28" i="16" a="1"/>
  <c r="B6" i="10" a="1"/>
  <c r="B7" i="8" a="1"/>
  <c r="B22" i="8" a="1"/>
  <c r="E16" i="12" a="1"/>
  <c r="H22" i="11" a="1"/>
  <c r="B26" i="10" a="1"/>
  <c r="E15" i="11" a="1"/>
  <c r="E23" i="11" a="1"/>
  <c r="K16" i="11" a="1"/>
  <c r="E20" i="11" a="1"/>
  <c r="B8" i="7"/>
  <c r="B18" i="11" a="1"/>
  <c r="H7" i="16" a="1"/>
  <c r="E18" i="8" a="1"/>
  <c r="B16" i="11" a="1"/>
  <c r="B10" i="15" a="1"/>
  <c r="K7" i="16" a="1"/>
  <c r="K20" i="11" a="1"/>
  <c r="B16" i="10" a="1"/>
  <c r="H15" i="10" a="1"/>
  <c r="K17" i="16" a="1"/>
  <c r="E10" i="11" a="1"/>
  <c r="B25" i="12" a="1"/>
  <c r="K19" i="11" a="1"/>
  <c r="B24" i="10" a="1"/>
  <c r="B11" i="7"/>
  <c r="K26" i="12" a="1"/>
  <c r="B23" i="11" a="1"/>
  <c r="H25" i="16" a="1"/>
  <c r="B29" i="8" a="1"/>
  <c r="H19" i="10" a="1"/>
  <c r="E21" i="10" a="1"/>
  <c r="B21" i="8" a="1"/>
  <c r="H25" i="12" a="1"/>
  <c r="H6" i="10" a="1"/>
  <c r="K11" i="12" a="1"/>
  <c r="E8" i="10" a="1"/>
  <c r="H18" i="16" a="1"/>
  <c r="E23" i="12" a="1"/>
  <c r="E6" i="10" a="1"/>
  <c r="K20" i="12" a="1"/>
  <c r="B20" i="10" a="1"/>
  <c r="B25" i="10" a="1"/>
  <c r="H29" i="16" a="1"/>
  <c r="B8" i="8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10" i="11" a="1"/>
  <c r="K10" i="16" a="1"/>
  <c r="B10" i="10" a="1"/>
  <c r="K16" i="12" a="1"/>
  <c r="B17" i="10" a="1"/>
  <c r="E17" i="10" a="1"/>
  <c r="E26" i="16" a="1"/>
  <c r="E14" i="8" a="1"/>
  <c r="K19" i="16" a="1"/>
  <c r="E6" i="8" a="1"/>
  <c r="B16" i="8" a="1"/>
  <c r="B17" i="8" a="1"/>
  <c r="K22" i="11" a="1"/>
  <c r="K12" i="11" a="1"/>
  <c r="B25" i="11" a="1"/>
  <c r="H10" i="16" a="1"/>
  <c r="B30" i="8" a="1"/>
  <c r="E15" i="8" a="1"/>
  <c r="H20" i="12" a="1"/>
  <c r="B14" i="12" a="1"/>
  <c r="B11" i="15" a="1"/>
  <c r="H24" i="16" a="1"/>
  <c r="B22" i="10" a="1"/>
  <c r="B27" i="10" a="1"/>
  <c r="E22" i="12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K12" i="16" a="1"/>
  <c r="H8" i="12" a="1"/>
  <c r="B14" i="8" a="1"/>
  <c r="E15" i="10" a="1"/>
  <c r="E20" i="12" a="1"/>
  <c r="H26" i="16" a="1"/>
  <c r="E6" i="11" a="1"/>
  <c r="B28" i="12" a="1"/>
  <c r="K16" i="16" a="1"/>
  <c r="H11" i="10" a="1"/>
  <c r="B8" i="11" a="1"/>
  <c r="H21" i="11" a="1"/>
  <c r="B12" i="7"/>
  <c r="H5" i="11" a="1"/>
  <c r="H25" i="10" a="1"/>
  <c r="H19" i="12" a="1"/>
  <c r="B31" i="15" a="1"/>
  <c r="H22" i="16" a="1"/>
  <c r="E12" i="8" a="1"/>
  <c r="E11" i="11" a="1"/>
  <c r="K25" i="12" a="1"/>
  <c r="B23" i="10" a="1"/>
  <c r="B25" i="15" a="1"/>
  <c r="H6" i="12" a="1"/>
  <c r="K10" i="11" a="1"/>
  <c r="B13" i="15" a="1"/>
  <c r="B19" i="15" a="1"/>
  <c r="E9" i="12" a="1"/>
  <c r="H19" i="16" a="1"/>
  <c r="E27" i="12" a="1"/>
  <c r="H9" i="16" a="1"/>
  <c r="B19" i="10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H14" i="12" a="1"/>
  <c r="H20" i="10" a="1"/>
  <c r="B12" i="15" a="1"/>
  <c r="B8" i="10" a="1"/>
  <c r="H14" i="10" a="1"/>
  <c r="B22" i="15" a="1"/>
  <c r="E8" i="8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H12" i="16" a="1"/>
  <c r="E20" i="10" a="1"/>
  <c r="E10" i="16" a="1"/>
  <c r="E14" i="11" a="1"/>
  <c r="K11" i="16" a="1"/>
  <c r="E28" i="12" a="1"/>
  <c r="B9" i="10" a="1"/>
  <c r="E23" i="10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H9" i="11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H11" i="16" a="1"/>
  <c r="B12" i="8" a="1"/>
  <c r="H8" i="11" a="1"/>
  <c r="B20" i="15" a="1"/>
  <c r="E18" i="11" a="1"/>
  <c r="B5" i="11" a="1"/>
  <c r="H13" i="10" a="1"/>
  <c r="B6" i="12" a="1"/>
  <c r="B21" i="15" a="1"/>
  <c r="B14" i="11" a="1"/>
  <c r="B11" i="11" a="1"/>
  <c r="B16" i="15" a="1"/>
  <c r="E21" i="8" a="1"/>
  <c r="C71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B16" i="15"/>
  <c r="B13" i="15"/>
  <c r="H14" i="10"/>
  <c r="E10" i="11"/>
  <c r="E16" i="11"/>
  <c r="H8" i="11"/>
  <c r="K22" i="11"/>
  <c r="K15" i="12"/>
  <c r="H10" i="12"/>
  <c r="H21" i="12"/>
  <c r="E12" i="12"/>
  <c r="H26" i="12"/>
  <c r="B21" i="15"/>
  <c r="H16" i="12"/>
  <c r="B19" i="15"/>
  <c r="K9" i="12"/>
  <c r="B12" i="11"/>
  <c r="H24" i="12"/>
  <c r="K20" i="11"/>
  <c r="E20" i="12"/>
  <c r="H25" i="12"/>
  <c r="K13" i="11"/>
  <c r="H20" i="12"/>
  <c r="H15" i="10"/>
  <c r="E20" i="11"/>
  <c r="B23" i="11"/>
  <c r="E15" i="11"/>
  <c r="B11" i="12"/>
  <c r="E13" i="12"/>
  <c r="E9" i="12"/>
  <c r="E17" i="12"/>
  <c r="H18" i="11"/>
  <c r="H18" i="12"/>
  <c r="K11" i="12"/>
  <c r="K19" i="12"/>
  <c r="H7" i="10"/>
  <c r="H12" i="11"/>
  <c r="B20" i="11"/>
  <c r="B22" i="11"/>
  <c r="K16" i="11"/>
  <c r="K8" i="12"/>
  <c r="K6" i="12"/>
  <c r="E14" i="12"/>
  <c r="E22" i="12"/>
  <c r="K25" i="12"/>
  <c r="B18" i="15"/>
  <c r="E13" i="11"/>
  <c r="H17" i="10"/>
  <c r="H6" i="11"/>
  <c r="B26" i="11"/>
  <c r="K17" i="11"/>
  <c r="E11" i="12"/>
  <c r="B16" i="12"/>
  <c r="K16" i="12"/>
  <c r="B27" i="12"/>
  <c r="K23" i="12"/>
  <c r="B23" i="15"/>
  <c r="H9" i="11"/>
  <c r="B17" i="11"/>
  <c r="K20" i="12"/>
  <c r="H16" i="10"/>
  <c r="E6" i="11"/>
  <c r="K5" i="11"/>
  <c r="E23" i="12"/>
  <c r="K24" i="12"/>
  <c r="B10" i="15"/>
  <c r="B8" i="15"/>
  <c r="H8" i="10"/>
  <c r="B10" i="11"/>
  <c r="H7" i="11"/>
  <c r="B6" i="11"/>
  <c r="K18" i="11"/>
  <c r="K13" i="12"/>
  <c r="E19" i="12"/>
  <c r="K7" i="12"/>
  <c r="B14" i="15"/>
  <c r="H19" i="11"/>
  <c r="K14" i="12"/>
  <c r="K14" i="11"/>
  <c r="K26" i="12"/>
  <c r="K9" i="11"/>
  <c r="E16" i="12"/>
  <c r="K21" i="12"/>
  <c r="B10" i="12"/>
  <c r="B9" i="15"/>
  <c r="E24" i="15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5" i="15"/>
  <c r="K10" i="12"/>
  <c r="H19" i="10"/>
  <c r="B7" i="11"/>
  <c r="H17" i="11"/>
  <c r="H15" i="11"/>
  <c r="K11" i="11"/>
  <c r="E21" i="12"/>
  <c r="K12" i="12"/>
  <c r="E7" i="12"/>
  <c r="B15" i="12"/>
  <c r="B20" i="15"/>
  <c r="B24" i="15"/>
  <c r="E22" i="8"/>
  <c r="K22" i="12"/>
  <c r="H25" i="10"/>
  <c r="K21" i="11"/>
  <c r="E22" i="11"/>
  <c r="B20" i="12"/>
  <c r="H21" i="10"/>
  <c r="H24" i="10"/>
  <c r="B5" i="11"/>
  <c r="H14" i="11"/>
  <c r="B28" i="11"/>
  <c r="E10" i="12"/>
  <c r="B13" i="12"/>
  <c r="B12" i="12"/>
  <c r="H6" i="10"/>
  <c r="H5" i="11"/>
  <c r="E7" i="11"/>
  <c r="B18" i="11"/>
  <c r="B27" i="11"/>
  <c r="E24" i="11"/>
  <c r="E15" i="12"/>
  <c r="B18" i="12"/>
  <c r="H14" i="12"/>
  <c r="H22" i="12"/>
  <c r="B21" i="11"/>
  <c r="H17" i="12"/>
  <c r="B11" i="15"/>
  <c r="B7" i="15"/>
  <c r="B30" i="15"/>
  <c r="B19" i="11"/>
  <c r="B24" i="12"/>
  <c r="E30" i="14"/>
  <c r="H11" i="10"/>
  <c r="H22" i="11"/>
  <c r="H10" i="11"/>
  <c r="K12" i="11"/>
  <c r="B8" i="12"/>
  <c r="E8" i="12"/>
  <c r="H8" i="12"/>
  <c r="B17" i="12"/>
  <c r="H10" i="10"/>
  <c r="E18" i="12"/>
  <c r="H23" i="10"/>
  <c r="B16" i="11"/>
  <c r="H21" i="11"/>
  <c r="H9" i="12"/>
  <c r="E21" i="11"/>
  <c r="B28" i="12"/>
  <c r="H23" i="11"/>
  <c r="K6" i="11"/>
  <c r="K17" i="12"/>
  <c r="B21" i="12"/>
  <c r="H13" i="12"/>
  <c r="E27" i="12"/>
  <c r="B17" i="15"/>
  <c r="B28" i="15"/>
  <c r="H12" i="10"/>
  <c r="B8" i="11"/>
  <c r="H20" i="11"/>
  <c r="H11" i="11"/>
  <c r="K7" i="11"/>
  <c r="E6" i="12"/>
  <c r="B14" i="12"/>
  <c r="H23" i="12"/>
  <c r="B26" i="12"/>
  <c r="E26" i="12"/>
  <c r="B15" i="15"/>
  <c r="B22" i="15"/>
  <c r="H13" i="11"/>
  <c r="K15" i="11"/>
  <c r="H19" i="12"/>
  <c r="B29" i="15"/>
  <c r="E8" i="11"/>
  <c r="H22" i="10"/>
  <c r="H15" i="12"/>
  <c r="B13" i="11"/>
  <c r="B14" i="11"/>
  <c r="B25" i="11"/>
  <c r="B6" i="12"/>
  <c r="B29" i="12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B27" i="15"/>
  <c r="H13" i="10"/>
  <c r="E19" i="11"/>
  <c r="E11" i="11"/>
  <c r="E18" i="11"/>
  <c r="K10" i="11"/>
  <c r="H6" i="12"/>
  <c r="H11" i="12"/>
  <c r="H7" i="12"/>
  <c r="E25" i="12"/>
  <c r="B6" i="15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71" i="3"/>
  <c r="C72" i="3" s="1"/>
  <c r="C73" i="3" s="1"/>
  <c r="C35" i="3"/>
  <c r="F5" i="7"/>
  <c r="C38" i="3" l="1"/>
  <c r="H4" i="13" a="1"/>
  <c r="H4" i="14" a="1"/>
  <c r="N4" i="15" a="1"/>
  <c r="K4" i="10" a="1"/>
  <c r="N4" i="12" a="1"/>
  <c r="N4" i="16" a="1"/>
  <c r="N4" i="11" a="1"/>
  <c r="C62" i="3" l="1"/>
  <c r="C64" i="3" s="1"/>
  <c r="C66" i="3" s="1"/>
  <c r="H4" i="13"/>
  <c r="H4" i="14"/>
  <c r="K4" i="10"/>
  <c r="N4" i="11"/>
  <c r="M5" i="11"/>
  <c r="M6" i="11" s="1"/>
  <c r="N4" i="12"/>
  <c r="G5" i="13"/>
  <c r="N4" i="15"/>
  <c r="N4" i="16"/>
  <c r="M5" i="15"/>
  <c r="M6" i="15" s="1"/>
  <c r="M5" i="16"/>
  <c r="G5" i="14"/>
  <c r="M5" i="12"/>
  <c r="J5" i="10"/>
  <c r="J6" i="10" s="1"/>
  <c r="N5" i="16" a="1"/>
  <c r="K5" i="10" a="1"/>
  <c r="N5" i="11" a="1"/>
  <c r="H5" i="13" a="1"/>
  <c r="K6" i="10" a="1"/>
  <c r="N5" i="15" a="1"/>
  <c r="N5" i="12" a="1"/>
  <c r="N6" i="15" a="1"/>
  <c r="N6" i="11" a="1"/>
  <c r="H5" i="14" a="1"/>
  <c r="C65" i="3" l="1"/>
  <c r="C63" i="3"/>
  <c r="H5" i="14"/>
  <c r="H5" i="13"/>
  <c r="N5" i="11"/>
  <c r="M7" i="11"/>
  <c r="N5" i="16"/>
  <c r="N6" i="15"/>
  <c r="N5" i="15"/>
  <c r="M7" i="15"/>
  <c r="M6" i="16"/>
  <c r="N5" i="12"/>
  <c r="N6" i="11"/>
  <c r="M7" i="12"/>
  <c r="M6" i="12"/>
  <c r="K6" i="10"/>
  <c r="K5" i="10"/>
  <c r="B20" i="2"/>
  <c r="D6" i="3"/>
  <c r="G6" i="3"/>
  <c r="E6" i="3"/>
  <c r="F6" i="3"/>
  <c r="N6" i="16" a="1"/>
  <c r="N7" i="15" a="1"/>
  <c r="N6" i="12" a="1"/>
  <c r="N7" i="11" a="1"/>
  <c r="N7" i="12" a="1"/>
  <c r="N7" i="11" l="1"/>
  <c r="N6" i="16"/>
  <c r="N7" i="15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G20" i="3"/>
  <c r="G15" i="3"/>
  <c r="E20" i="3"/>
  <c r="F13" i="3"/>
  <c r="G8" i="3"/>
  <c r="G14" i="3"/>
  <c r="E14" i="3"/>
  <c r="F7" i="3"/>
  <c r="E23" i="3"/>
  <c r="F10" i="3"/>
  <c r="F16" i="3"/>
  <c r="E13" i="3"/>
  <c r="G16" i="3"/>
  <c r="E25" i="3"/>
  <c r="E9" i="3"/>
  <c r="E22" i="3"/>
  <c r="G12" i="3"/>
  <c r="F8" i="3"/>
  <c r="E11" i="3"/>
  <c r="E21" i="3"/>
  <c r="F19" i="3"/>
  <c r="F11" i="3"/>
  <c r="E17" i="3"/>
  <c r="F21" i="3"/>
  <c r="E12" i="3"/>
  <c r="E7" i="3"/>
  <c r="G24" i="3"/>
  <c r="F25" i="3"/>
  <c r="F14" i="3"/>
  <c r="F23" i="3"/>
  <c r="E19" i="3"/>
  <c r="G18" i="3"/>
  <c r="G21" i="3"/>
  <c r="F17" i="3"/>
  <c r="G22" i="3"/>
  <c r="G11" i="3"/>
  <c r="E18" i="3"/>
  <c r="G17" i="3"/>
  <c r="F24" i="3"/>
  <c r="G25" i="3"/>
  <c r="G9" i="3"/>
  <c r="E10" i="3"/>
  <c r="G19" i="3"/>
  <c r="G23" i="3"/>
  <c r="E16" i="3"/>
  <c r="F12" i="3"/>
  <c r="E15" i="3"/>
  <c r="E8" i="3"/>
  <c r="F22" i="3"/>
  <c r="F20" i="3"/>
  <c r="G7" i="3"/>
  <c r="F18" i="3"/>
  <c r="G10" i="3"/>
  <c r="F15" i="3"/>
  <c r="G13" i="3"/>
  <c r="E24" i="3"/>
  <c r="F9" i="3"/>
  <c r="N7" i="16" a="1"/>
  <c r="C39" i="3" l="1"/>
  <c r="N7" i="16"/>
  <c r="C45" i="3" a="1"/>
  <c r="C45" i="3" l="1"/>
  <c r="C46" i="3" s="1"/>
  <c r="C4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<sst xmlns="http://schemas.openxmlformats.org/spreadsheetml/2006/main" count="304" uniqueCount="136">
  <si>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</si>
  <si>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</si>
  <si>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</si>
  <si>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</si>
  <si>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</si>
  <si>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</si>
  <si>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</si>
  <si>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</si>
  <si>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</si>
  <si>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</si>
  <si>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</si>
  <si>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</si>
  <si>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</si>
  <si>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</si>
  <si>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</si>
  <si>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</si>
  <si>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</si>
  <si>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</si>
  <si>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</si>
  <si>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</si>
  <si>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</si>
  <si>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</si>
  <si>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</si>
  <si>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</si>
  <si>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</si>
  <si>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</si>
  <si>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</si>
  <si>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</si>
  <si>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</si>
  <si>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</si>
  <si>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</si>
  <si>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</si>
  <si>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</si>
  <si>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</si>
  <si>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</si>
  <si>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</si>
  <si>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</si>
  <si>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</si>
  <si>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</si>
  <si>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</si>
  <si>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</si>
  <si>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</si>
  <si>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</si>
  <si>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</si>
  <si>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</si>
  <si>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</si>
  <si>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</si>
  <si>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</si>
  <si>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</si>
  <si>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</si>
  <si>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</si>
  <si>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</si>
  <si>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</si>
  <si>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</si>
  <si>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</si>
  <si>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</si>
  <si>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</si>
  <si>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</si>
  <si>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</si>
  <si>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</si>
  <si>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</si>
  <si>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</si>
  <si>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</si>
  <si>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</si>
  <si>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</si>
  <si>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</si>
  <si>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</si>
  <si>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</si>
  <si>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</si>
  <si>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</si>
  <si>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</si>
  <si>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</si>
  <si>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</si>
  <si>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</si>
  <si>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</si>
  <si>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</si>
  <si>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</si>
  <si>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</si>
  <si>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</si>
  <si>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</si>
  <si>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</si>
  <si>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</si>
  <si>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</si>
  <si>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</si>
  <si>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</si>
  <si>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</si>
  <si>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</si>
  <si>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</si>
  <si>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</si>
  <si>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</si>
  <si>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</si>
  <si>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</si>
  <si>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</si>
  <si>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</si>
  <si>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</si>
  <si>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</si>
  <si>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</si>
  <si>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</si>
  <si>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</si>
  <si>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</si>
  <si>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</si>
  <si>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</si>
  <si>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</si>
  <si>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</si>
  <si>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</si>
  <si>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Verifica</t>
  </si>
  <si>
    <t>Calcolo teorico interasse dreni (abaco di efficienza, funzione inversa):</t>
  </si>
  <si>
    <t>Interasse di progetto (valore medio rappresentativo &lt;= valore teorico):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</si>
  <si>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</si>
  <si>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</si>
  <si>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</si>
  <si>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</si>
  <si>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</si>
  <si>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</si>
  <si>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</si>
  <si>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</si>
  <si>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</si>
  <si>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</si>
  <si>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</si>
  <si>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</si>
  <si>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</si>
  <si>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</si>
  <si>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</si>
  <si>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</si>
  <si>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</si>
  <si>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</si>
  <si>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</si>
  <si>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</si>
  <si>
    <t>S*/H0 teorico = GetSuH0(n, d, E richiesta)</t>
  </si>
  <si>
    <t>S* teorico= S*/H0 teorico × H0</t>
  </si>
  <si>
    <t>S teorico = S* teorico × √(kh/kv)</t>
  </si>
  <si>
    <t>E ottenuta = GetEfficienza(n, d, S*/H0 di progetto)</t>
  </si>
  <si>
    <t>T50 = GetT("T50", n, d, S*/H0 di progetto)</t>
  </si>
  <si>
    <t>T90 = GetT("T90", n, d, S*/H0 di progetto)</t>
  </si>
  <si>
    <t>S*/H0</t>
  </si>
  <si>
    <t>S* di progetto /H0 =  S / H0 × √(kv/kh)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</si>
</sst>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11" fontId="15" fillId="4" borderId="1" xfId="0" applyNumberFormat="1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 wrapText="1"/>
    </xf>
    <xf numFmtId="164" fontId="10" fillId="0" borderId="4" xfId="0" applyNumberFormat="1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  <xf numFmtId="0" fontId="4" fillId="0" borderId="0" xfId="0" applyFont="1" applyBorder="1" applyAlignment="1">
      <alignment horizontal="left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2.2355251605466631</c:v>
                </c:pt>
                <c:pt idx="1">
                  <c:v>1.4756331158763729</c:v>
                </c:pt>
                <c:pt idx="2">
                  <c:v>1.2223357676529432</c:v>
                </c:pt>
                <c:pt idx="3">
                  <c:v>1.095687093541228</c:v>
                </c:pt>
                <c:pt idx="4">
                  <c:v>1.0196978890741992</c:v>
                </c:pt>
                <c:pt idx="5">
                  <c:v>0.96903841942951308</c:v>
                </c:pt>
                <c:pt idx="6">
                  <c:v>0.93285308396902322</c:v>
                </c:pt>
                <c:pt idx="7">
                  <c:v>0.90571408237365536</c:v>
                </c:pt>
                <c:pt idx="8">
                  <c:v>0.88460597002170316</c:v>
                </c:pt>
                <c:pt idx="9">
                  <c:v>0.86771948014014111</c:v>
                </c:pt>
                <c:pt idx="10">
                  <c:v>0.85390326114613568</c:v>
                </c:pt>
                <c:pt idx="11">
                  <c:v>0.84238974531779809</c:v>
                </c:pt>
                <c:pt idx="12">
                  <c:v>0.83264753961689697</c:v>
                </c:pt>
                <c:pt idx="13">
                  <c:v>0.82429707758755311</c:v>
                </c:pt>
                <c:pt idx="14">
                  <c:v>0.81706001049545507</c:v>
                </c:pt>
                <c:pt idx="15">
                  <c:v>0.81072757678986918</c:v>
                </c:pt>
                <c:pt idx="16">
                  <c:v>0.80514013528494044</c:v>
                </c:pt>
                <c:pt idx="17">
                  <c:v>0.80017352061389313</c:v>
                </c:pt>
                <c:pt idx="18">
                  <c:v>0.7957297074871662</c:v>
                </c:pt>
                <c:pt idx="19">
                  <c:v>0.79173027567311205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2.999553442214963</c:v>
                </c:pt>
                <c:pt idx="1">
                  <c:v>2.2396613975446726</c:v>
                </c:pt>
                <c:pt idx="2">
                  <c:v>1.9863640493212429</c:v>
                </c:pt>
                <c:pt idx="3">
                  <c:v>1.8597153752095277</c:v>
                </c:pt>
                <c:pt idx="4">
                  <c:v>1.783726170742499</c:v>
                </c:pt>
                <c:pt idx="5">
                  <c:v>1.7330667010978129</c:v>
                </c:pt>
                <c:pt idx="6">
                  <c:v>1.6968813656373229</c:v>
                </c:pt>
                <c:pt idx="7">
                  <c:v>1.6697423640419551</c:v>
                </c:pt>
                <c:pt idx="8">
                  <c:v>1.6486342516900028</c:v>
                </c:pt>
                <c:pt idx="9">
                  <c:v>1.6317477618084408</c:v>
                </c:pt>
                <c:pt idx="10">
                  <c:v>1.6179315428144354</c:v>
                </c:pt>
                <c:pt idx="11">
                  <c:v>1.6064180269860979</c:v>
                </c:pt>
                <c:pt idx="12">
                  <c:v>1.5966758212851968</c:v>
                </c:pt>
                <c:pt idx="13">
                  <c:v>1.5519430601287909</c:v>
                </c:pt>
                <c:pt idx="14">
                  <c:v>1.4961962608672772</c:v>
                </c:pt>
                <c:pt idx="15">
                  <c:v>1.4474178115134522</c:v>
                </c:pt>
                <c:pt idx="16">
                  <c:v>1.4043780032600777</c:v>
                </c:pt>
                <c:pt idx="17">
                  <c:v>1.3661203959237447</c:v>
                </c:pt>
                <c:pt idx="18">
                  <c:v>1.3318899051491309</c:v>
                </c:pt>
                <c:pt idx="19">
                  <c:v>1.3010824634519786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2.999553442214963</c:v>
                </c:pt>
                <c:pt idx="1">
                  <c:v>2.2396613975446726</c:v>
                </c:pt>
                <c:pt idx="2">
                  <c:v>1.7882826429627947</c:v>
                </c:pt>
                <c:pt idx="3">
                  <c:v>1.5201472500236166</c:v>
                </c:pt>
                <c:pt idx="4">
                  <c:v>1.3592660142601103</c:v>
                </c:pt>
                <c:pt idx="5">
                  <c:v>1.252011857084439</c:v>
                </c:pt>
                <c:pt idx="6">
                  <c:v>1.1754017448161025</c:v>
                </c:pt>
                <c:pt idx="7">
                  <c:v>1.1179441606148499</c:v>
                </c:pt>
                <c:pt idx="8">
                  <c:v>1.0732549284583204</c:v>
                </c:pt>
                <c:pt idx="9">
                  <c:v>1.0375035427330965</c:v>
                </c:pt>
                <c:pt idx="10">
                  <c:v>1.0082524089579135</c:v>
                </c:pt>
                <c:pt idx="11">
                  <c:v>0.98387646414526098</c:v>
                </c:pt>
                <c:pt idx="12">
                  <c:v>0.96325066468840126</c:v>
                </c:pt>
                <c:pt idx="13">
                  <c:v>0.94557140801109274</c:v>
                </c:pt>
                <c:pt idx="14">
                  <c:v>0.93024938555742542</c:v>
                </c:pt>
                <c:pt idx="15">
                  <c:v>0.91684261591046634</c:v>
                </c:pt>
                <c:pt idx="16">
                  <c:v>0.9050131132807967</c:v>
                </c:pt>
                <c:pt idx="17">
                  <c:v>0.8944979998322018</c:v>
                </c:pt>
                <c:pt idx="18">
                  <c:v>0.885089740430827</c:v>
                </c:pt>
                <c:pt idx="19">
                  <c:v>0.87662230696958976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0.000</c:formatCode>
                <c:ptCount val="2"/>
                <c:pt idx="0">
                  <c:v>2.8284271247461903</c:v>
                </c:pt>
                <c:pt idx="1">
                  <c:v>2.8284271247461903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0.53640635954570071</c:v>
                </c:pt>
                <c:pt idx="1">
                  <c:v>0.43807348232928089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0.000</c:formatCode>
                <c:ptCount val="3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0.63793686004157357</c:v>
                </c:pt>
                <c:pt idx="1">
                  <c:v>0.55499293199886912</c:v>
                </c:pt>
                <c:pt idx="2" formatCode="0.000">
                  <c:v>0.36945748366701492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0.64918452669368176</c:v>
                </c:pt>
                <c:pt idx="1">
                  <c:v>0.56502372001094692</c:v>
                </c:pt>
                <c:pt idx="2" formatCode="0.000">
                  <c:v>0.37593982270042831</c:v>
                </c:pt>
                <c:pt idx="3">
                  <c:v>0.28315113907235595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0.64122391789387723</c:v>
                </c:pt>
                <c:pt idx="1">
                  <c:v>0.56308025213927571</c:v>
                </c:pt>
                <c:pt idx="2" formatCode="0.000">
                  <c:v>0.37590754473629984</c:v>
                </c:pt>
                <c:pt idx="3">
                  <c:v>0.28178203807144114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1.7445375989448208E-3</c:v>
                </c:pt>
                <c:pt idx="1">
                  <c:v>1.8882886571193274E-3</c:v>
                </c:pt>
                <c:pt idx="2">
                  <c:v>2.2219225192920663E-3</c:v>
                </c:pt>
                <c:pt idx="3">
                  <c:v>3.2465407224552766E-3</c:v>
                </c:pt>
                <c:pt idx="4">
                  <c:v>4.7585405324305748E-3</c:v>
                </c:pt>
                <c:pt idx="5">
                  <c:v>7.2536412170021219E-3</c:v>
                </c:pt>
                <c:pt idx="6">
                  <c:v>1.2171843193182355E-2</c:v>
                </c:pt>
                <c:pt idx="7">
                  <c:v>1.569705197560833E-2</c:v>
                </c:pt>
                <c:pt idx="8">
                  <c:v>2.025908990538643E-2</c:v>
                </c:pt>
                <c:pt idx="9">
                  <c:v>2.6063604825222905E-2</c:v>
                </c:pt>
                <c:pt idx="10">
                  <c:v>3.2265331130189472E-2</c:v>
                </c:pt>
                <c:pt idx="11">
                  <c:v>3.8783950993016417E-2</c:v>
                </c:pt>
                <c:pt idx="12">
                  <c:v>5.2104671486521523E-2</c:v>
                </c:pt>
                <c:pt idx="13">
                  <c:v>5.6479438155163306E-2</c:v>
                </c:pt>
                <c:pt idx="14">
                  <c:v>5.818517119680789E-2</c:v>
                </c:pt>
                <c:pt idx="15">
                  <c:v>5.8548088461529944E-2</c:v>
                </c:pt>
                <c:pt idx="16">
                  <c:v>5.8604317929106316E-2</c:v>
                </c:pt>
                <c:pt idx="17">
                  <c:v>5.8311685604461705E-2</c:v>
                </c:pt>
                <c:pt idx="18">
                  <c:v>5.788956539951591E-2</c:v>
                </c:pt>
                <c:pt idx="19">
                  <c:v>5.7417624556015373E-2</c:v>
                </c:pt>
                <c:pt idx="20">
                  <c:v>5.7163901504934236E-2</c:v>
                </c:pt>
                <c:pt idx="21">
                  <c:v>5.7168750314316778E-2</c:v>
                </c:pt>
                <c:pt idx="22">
                  <c:v>5.7563448341112523E-2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2.33037679932865E-3</c:v>
                </c:pt>
                <c:pt idx="1">
                  <c:v>2.6056221480398596E-3</c:v>
                </c:pt>
                <c:pt idx="2">
                  <c:v>4.1754631395730544E-3</c:v>
                </c:pt>
                <c:pt idx="3">
                  <c:v>6.7584218968357946E-3</c:v>
                </c:pt>
                <c:pt idx="4">
                  <c:v>1.0359307526078975E-2</c:v>
                </c:pt>
                <c:pt idx="5">
                  <c:v>1.3758254894933151E-2</c:v>
                </c:pt>
                <c:pt idx="6">
                  <c:v>1.9458733291608066E-2</c:v>
                </c:pt>
                <c:pt idx="7">
                  <c:v>2.8161438660117694E-2</c:v>
                </c:pt>
                <c:pt idx="8">
                  <c:v>3.8759546129510193E-2</c:v>
                </c:pt>
                <c:pt idx="9">
                  <c:v>4.8006238607635782E-2</c:v>
                </c:pt>
                <c:pt idx="10">
                  <c:v>5.920348229472075E-2</c:v>
                </c:pt>
                <c:pt idx="11">
                  <c:v>6.7131208546724636E-2</c:v>
                </c:pt>
                <c:pt idx="12">
                  <c:v>7.4012473341271021E-2</c:v>
                </c:pt>
                <c:pt idx="13">
                  <c:v>7.8126608089828894E-2</c:v>
                </c:pt>
                <c:pt idx="14">
                  <c:v>8.0988342262565433E-2</c:v>
                </c:pt>
                <c:pt idx="15">
                  <c:v>8.1412674235957147E-2</c:v>
                </c:pt>
                <c:pt idx="16">
                  <c:v>8.1237052906715956E-2</c:v>
                </c:pt>
                <c:pt idx="17">
                  <c:v>8.0912176048058768E-2</c:v>
                </c:pt>
                <c:pt idx="18">
                  <c:v>8.0582683924288884E-2</c:v>
                </c:pt>
                <c:pt idx="19">
                  <c:v>8.025675840756949E-2</c:v>
                </c:pt>
                <c:pt idx="20">
                  <c:v>7.9996617450096674E-2</c:v>
                </c:pt>
                <c:pt idx="21">
                  <c:v>7.9854900338397941E-2</c:v>
                </c:pt>
                <c:pt idx="22">
                  <c:v>7.9780313472090872E-2</c:v>
                </c:pt>
                <c:pt idx="23">
                  <c:v>7.9882416427785027E-2</c:v>
                </c:pt>
                <c:pt idx="24">
                  <c:v>8.0217657241966278E-2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0.000</c:formatCode>
                <c:ptCount val="2"/>
                <c:pt idx="0">
                  <c:v>2.8284271247461903</c:v>
                </c:pt>
                <c:pt idx="1">
                  <c:v>2.8284271247461903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5.7036767641874646E-2</c:v>
                </c:pt>
                <c:pt idx="1">
                  <c:v>8.0309867313937494E-2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2.1315149001949151E-2</c:v>
                </c:pt>
                <c:pt idx="1">
                  <c:v>2.415577092308686E-2</c:v>
                </c:pt>
                <c:pt idx="2">
                  <c:v>3.5450382297405263E-2</c:v>
                </c:pt>
                <c:pt idx="3">
                  <c:v>5.0736925443393852E-2</c:v>
                </c:pt>
                <c:pt idx="4">
                  <c:v>7.0500086657504943E-2</c:v>
                </c:pt>
                <c:pt idx="5">
                  <c:v>9.8815097991484413E-2</c:v>
                </c:pt>
                <c:pt idx="6">
                  <c:v>0.13880740675122266</c:v>
                </c:pt>
                <c:pt idx="7">
                  <c:v>0.1863354916019091</c:v>
                </c:pt>
                <c:pt idx="8">
                  <c:v>0.22079829197131762</c:v>
                </c:pt>
                <c:pt idx="9">
                  <c:v>0.26070978598946309</c:v>
                </c:pt>
                <c:pt idx="10">
                  <c:v>0.30770424479865582</c:v>
                </c:pt>
                <c:pt idx="11">
                  <c:v>0.35180223300800623</c:v>
                </c:pt>
                <c:pt idx="12">
                  <c:v>0.39571190594675315</c:v>
                </c:pt>
                <c:pt idx="13">
                  <c:v>0.4391068607486705</c:v>
                </c:pt>
                <c:pt idx="14">
                  <c:v>0.47180740099318913</c:v>
                </c:pt>
                <c:pt idx="15">
                  <c:v>0.50186790201865372</c:v>
                </c:pt>
                <c:pt idx="16">
                  <c:v>0.52373820325414289</c:v>
                </c:pt>
                <c:pt idx="17">
                  <c:v>0.5392937992438922</c:v>
                </c:pt>
                <c:pt idx="18">
                  <c:v>0.5478072452045426</c:v>
                </c:pt>
                <c:pt idx="19">
                  <c:v>0.55193330152151998</c:v>
                </c:pt>
                <c:pt idx="20">
                  <c:v>0.55234551353827832</c:v>
                </c:pt>
                <c:pt idx="21">
                  <c:v>0.5483125955821665</c:v>
                </c:pt>
                <c:pt idx="22">
                  <c:v>0.54201576557825293</c:v>
                </c:pt>
                <c:pt idx="23">
                  <c:v>0.53677802151949927</c:v>
                </c:pt>
                <c:pt idx="24">
                  <c:v>0.53239735775268771</c:v>
                </c:pt>
                <c:pt idx="25">
                  <c:v>0.53293719126834338</c:v>
                </c:pt>
                <c:pt idx="26">
                  <c:v>0.54138000643902606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2.2288049136316997E-2</c:v>
                </c:pt>
                <c:pt idx="1">
                  <c:v>2.706625972222966E-2</c:v>
                </c:pt>
                <c:pt idx="2">
                  <c:v>3.8750543756433296E-2</c:v>
                </c:pt>
                <c:pt idx="3">
                  <c:v>5.1961266170191346E-2</c:v>
                </c:pt>
                <c:pt idx="4">
                  <c:v>7.3630472758060408E-2</c:v>
                </c:pt>
                <c:pt idx="5">
                  <c:v>9.9716767830188999E-2</c:v>
                </c:pt>
                <c:pt idx="6">
                  <c:v>0.12747152694522645</c:v>
                </c:pt>
                <c:pt idx="7">
                  <c:v>0.1740424430019672</c:v>
                </c:pt>
                <c:pt idx="8">
                  <c:v>0.22716519168383434</c:v>
                </c:pt>
                <c:pt idx="9">
                  <c:v>0.28339852259238152</c:v>
                </c:pt>
                <c:pt idx="10">
                  <c:v>0.33963547536073779</c:v>
                </c:pt>
                <c:pt idx="11">
                  <c:v>0.39752208268206068</c:v>
                </c:pt>
                <c:pt idx="12">
                  <c:v>0.45798544754597897</c:v>
                </c:pt>
                <c:pt idx="13">
                  <c:v>0.51167270306086066</c:v>
                </c:pt>
                <c:pt idx="14">
                  <c:v>0.53612362594176088</c:v>
                </c:pt>
                <c:pt idx="15">
                  <c:v>0.5566428857022313</c:v>
                </c:pt>
                <c:pt idx="16">
                  <c:v>0.56488219014867402</c:v>
                </c:pt>
                <c:pt idx="17">
                  <c:v>0.56977819216090375</c:v>
                </c:pt>
                <c:pt idx="18">
                  <c:v>0.57711768984103151</c:v>
                </c:pt>
                <c:pt idx="19">
                  <c:v>0.58174177844263286</c:v>
                </c:pt>
                <c:pt idx="20">
                  <c:v>0.58556822398338582</c:v>
                </c:pt>
                <c:pt idx="21">
                  <c:v>0.58749981916318905</c:v>
                </c:pt>
                <c:pt idx="22">
                  <c:v>0.58776924708089962</c:v>
                </c:pt>
                <c:pt idx="23">
                  <c:v>0.58527034637221975</c:v>
                </c:pt>
                <c:pt idx="24">
                  <c:v>0.5794087122568734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2.8284271247461903</c:v>
                </c:pt>
                <c:pt idx="1">
                  <c:v>2.8284271247461903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0.48711498953969745</c:v>
                </c:pt>
                <c:pt idx="1">
                  <c:v>0.52593193263720761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0.14329877055356044</c:v>
                </c:pt>
                <c:pt idx="1">
                  <c:v>0.22109748867241455</c:v>
                </c:pt>
                <c:pt idx="2" formatCode="0.000">
                  <c:v>1.0010195080760327</c:v>
                </c:pt>
                <c:pt idx="3">
                  <c:v>1.5296888446312651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2.3104516086273907</c:v>
                </c:pt>
                <c:pt idx="1">
                  <c:v>2.9288989432352714</c:v>
                </c:pt>
                <c:pt idx="2" formatCode="0.000">
                  <c:v>4.0830656230461484</c:v>
                </c:pt>
                <c:pt idx="3">
                  <c:v>4.6028108630895197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1.4142135623730951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1.4529920652750568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59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80CF535-67C0-4866-857C-5CCD76E838A0}">
  <we:reference id="wa200010725" version="1.0.0.1" store="it-IT" storeType="OMEX"/>
  <we:alternateReferences>
    <we:reference id="WA200010725" version="1.0.0.1" store="" storeType="OMEX"/>
  </we:alternateReferences>
  <we:properties>
    <we:property name="claude.fileId" value="&quot;8d5de819-6bd7-4788-ae57-53d62d7cf77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44" t="s">
        <v>0</v>
      </c>
    </row>
    <row r="3" spans="2:2" x14ac:dyDescent="0.2">
      <c r="B3" s="44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124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120</v>
      </c>
    </row>
    <row r="30" spans="2:2" x14ac:dyDescent="0.2">
      <c r="B30" s="13"/>
    </row>
    <row r="32" spans="2:2" x14ac:dyDescent="0.2">
      <c r="B32" s="18" t="s">
        <v>18</v>
      </c>
    </row>
    <row r="33" spans="2:2" ht="25.5" x14ac:dyDescent="0.2">
      <c r="B33" s="19" t="s">
        <v>123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122</v>
      </c>
    </row>
    <row r="39" spans="2:2" ht="9" customHeight="1" x14ac:dyDescent="0.2">
      <c r="B39" s="19"/>
    </row>
    <row r="40" spans="2:2" x14ac:dyDescent="0.2">
      <c r="B40" s="19" t="s">
        <v>121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zoomScale="115" zoomScaleNormal="115" workbookViewId="0">
      <selection activeCell="B12" sqref="B12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44" t="s">
        <v>20</v>
      </c>
      <c r="B1" s="44"/>
      <c r="C1" s="44"/>
      <c r="D1" s="44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45" t="s">
        <v>21</v>
      </c>
      <c r="B3" s="45"/>
      <c r="C3" s="45"/>
      <c r="D3" s="45"/>
      <c r="E3" s="12"/>
    </row>
    <row r="4" spans="1:5" x14ac:dyDescent="0.25">
      <c r="A4" s="13" t="s">
        <v>22</v>
      </c>
      <c r="B4" s="14">
        <v>9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6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6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19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34">
        <v>6E-9</v>
      </c>
      <c r="C10" s="15" t="s">
        <v>31</v>
      </c>
      <c r="D10" s="15"/>
      <c r="E10" s="12"/>
    </row>
    <row r="11" spans="1:5" x14ac:dyDescent="0.25">
      <c r="A11" s="13" t="s">
        <v>32</v>
      </c>
      <c r="B11" s="34">
        <v>3E-9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45" t="s">
        <v>37</v>
      </c>
      <c r="B15" s="45"/>
      <c r="C15" s="45"/>
      <c r="D15" s="45"/>
      <c r="E15" s="12"/>
    </row>
    <row r="16" spans="1:5" x14ac:dyDescent="0.25">
      <c r="A16" s="13" t="s">
        <v>38</v>
      </c>
      <c r="B16" s="14">
        <v>4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27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1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6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45" t="s">
        <v>42</v>
      </c>
      <c r="B22" s="45"/>
      <c r="C22" s="45"/>
      <c r="D22" s="45"/>
      <c r="E22" s="12"/>
    </row>
    <row r="23" spans="1:5" x14ac:dyDescent="0.25">
      <c r="A23" s="13" t="s">
        <v>43</v>
      </c>
      <c r="B23" s="31">
        <v>1.3</v>
      </c>
      <c r="C23" s="15" t="s">
        <v>36</v>
      </c>
      <c r="D23" s="15"/>
      <c r="E23" s="12"/>
    </row>
    <row r="24" spans="1:5" x14ac:dyDescent="0.25">
      <c r="A24" s="13" t="s">
        <v>117</v>
      </c>
      <c r="B24" s="31">
        <v>1.1000000000000001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6</v>
      </c>
      <c r="C25" s="15" t="s">
        <v>45</v>
      </c>
      <c r="D25" s="15" t="s">
        <v>116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45" t="s">
        <v>46</v>
      </c>
      <c r="B27" s="45"/>
      <c r="C27" s="45"/>
      <c r="D27" s="45"/>
      <c r="E27" s="12"/>
    </row>
    <row r="28" spans="1:5" x14ac:dyDescent="0.25">
      <c r="A28" s="13" t="s">
        <v>92</v>
      </c>
      <c r="B28" s="21">
        <v>1.5</v>
      </c>
      <c r="C28" s="15" t="s">
        <v>36</v>
      </c>
      <c r="D28" s="15" t="s">
        <v>126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3" t="s">
        <v>127</v>
      </c>
      <c r="B30" s="21">
        <v>2.5</v>
      </c>
      <c r="C30" s="15" t="s">
        <v>36</v>
      </c>
      <c r="D30" s="32" t="s">
        <v>125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45" t="s">
        <v>49</v>
      </c>
      <c r="B32" s="45"/>
      <c r="C32" s="45"/>
      <c r="D32" s="45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3"/>
  <sheetViews>
    <sheetView tabSelected="1" topLeftCell="A44" zoomScale="115" zoomScaleNormal="115" workbookViewId="0">
      <selection activeCell="C53" sqref="C53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4.425781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38" t="s">
        <v>51</v>
      </c>
      <c r="C1" s="38"/>
      <c r="D1" s="38"/>
      <c r="E1" s="38"/>
      <c r="F1" s="38"/>
      <c r="G1" s="38"/>
    </row>
    <row r="2" spans="2:17" x14ac:dyDescent="0.25">
      <c r="P2" s="2"/>
    </row>
    <row r="3" spans="2:17" x14ac:dyDescent="0.25">
      <c r="B3" s="39" t="s">
        <v>55</v>
      </c>
      <c r="C3" s="39"/>
      <c r="D3" s="39"/>
      <c r="E3" s="39"/>
      <c r="F3" s="39"/>
      <c r="G3" s="39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0.45</v>
      </c>
      <c r="E6" s="10">
        <f>IFERROR(GetFZ(D6,dw_sat,c_eff,phi_eff,gamma,gammaw,beta),"-&gt; importa ModuloTrincee.bas")</f>
        <v>2.2355251605466631</v>
      </c>
      <c r="F6" s="10">
        <f>IFERROR(GetFZ(D6,dw_init,c_eff,phi_eff,gamma,gammaw,beta),"-&gt; importa ModuloTrincee.bas")</f>
        <v>2.999553442214963</v>
      </c>
      <c r="G6" s="10">
        <f>IFERROR(GetFZ(D6,dw_dry,c_eff,phi_eff,gamma,gammaw,beta),"-&gt; importa ModuloTrincee.bas")</f>
        <v>2.999553442214963</v>
      </c>
    </row>
    <row r="7" spans="2:17" x14ac:dyDescent="0.25">
      <c r="B7" s="3" t="s">
        <v>100</v>
      </c>
      <c r="D7" s="10">
        <f>DATI_INPUT!$B$4*2/20</f>
        <v>0.9</v>
      </c>
      <c r="E7" s="10">
        <f>IFERROR(GetFZ(D7,dw_sat,c_eff,phi_eff,gamma,gammaw,beta),"-&gt; importa ModuloTrincee.bas")</f>
        <v>1.4756331158763729</v>
      </c>
      <c r="F7" s="10">
        <f>IFERROR(GetFZ(D7,dw_init,c_eff,phi_eff,gamma,gammaw,beta),"-&gt; importa ModuloTrincee.bas")</f>
        <v>2.2396613975446726</v>
      </c>
      <c r="G7" s="10">
        <f>IFERROR(GetFZ(D7,dw_dry,c_eff,phi_eff,gamma,gammaw,beta),"-&gt; importa ModuloTrincee.bas")</f>
        <v>2.2396613975446726</v>
      </c>
    </row>
    <row r="8" spans="2:17" x14ac:dyDescent="0.25">
      <c r="D8" s="10">
        <f>DATI_INPUT!$B$4*3/20</f>
        <v>1.35</v>
      </c>
      <c r="E8" s="10">
        <f>IFERROR(GetFZ(D8,dw_sat,c_eff,phi_eff,gamma,gammaw,beta),"-&gt; importa ModuloTrincee.bas")</f>
        <v>1.2223357676529432</v>
      </c>
      <c r="F8" s="10">
        <f>IFERROR(GetFZ(D8,dw_init,c_eff,phi_eff,gamma,gammaw,beta),"-&gt; importa ModuloTrincee.bas")</f>
        <v>1.7882826429627947</v>
      </c>
      <c r="G8" s="10">
        <f>IFERROR(GetFZ(D8,dw_dry,c_eff,phi_eff,gamma,gammaw,beta),"-&gt; importa ModuloTrincee.bas")</f>
        <v>1.9863640493212429</v>
      </c>
    </row>
    <row r="9" spans="2:17" x14ac:dyDescent="0.25">
      <c r="D9" s="10">
        <f>DATI_INPUT!$B$4*4/20</f>
        <v>1.8</v>
      </c>
      <c r="E9" s="10">
        <f>IFERROR(GetFZ(D9,dw_sat,c_eff,phi_eff,gamma,gammaw,beta),"-&gt; importa ModuloTrincee.bas")</f>
        <v>1.095687093541228</v>
      </c>
      <c r="F9" s="10">
        <f>IFERROR(GetFZ(D9,dw_init,c_eff,phi_eff,gamma,gammaw,beta),"-&gt; importa ModuloTrincee.bas")</f>
        <v>1.5201472500236166</v>
      </c>
      <c r="G9" s="10">
        <f>IFERROR(GetFZ(D9,dw_dry,c_eff,phi_eff,gamma,gammaw,beta),"-&gt; importa ModuloTrincee.bas")</f>
        <v>1.8597153752095277</v>
      </c>
    </row>
    <row r="10" spans="2:17" x14ac:dyDescent="0.25">
      <c r="D10" s="10">
        <f>DATI_INPUT!$B$4*5/20</f>
        <v>2.25</v>
      </c>
      <c r="E10" s="10">
        <f>IFERROR(GetFZ(D10,dw_sat,c_eff,phi_eff,gamma,gammaw,beta),"-&gt; importa ModuloTrincee.bas")</f>
        <v>1.0196978890741992</v>
      </c>
      <c r="F10" s="10">
        <f>IFERROR(GetFZ(D10,dw_init,c_eff,phi_eff,gamma,gammaw,beta),"-&gt; importa ModuloTrincee.bas")</f>
        <v>1.3592660142601103</v>
      </c>
      <c r="G10" s="10">
        <f>IFERROR(GetFZ(D10,dw_dry,c_eff,phi_eff,gamma,gammaw,beta),"-&gt; importa ModuloTrincee.bas")</f>
        <v>1.783726170742499</v>
      </c>
    </row>
    <row r="11" spans="2:17" x14ac:dyDescent="0.25">
      <c r="D11" s="10">
        <f>DATI_INPUT!$B$4*6/20</f>
        <v>2.7</v>
      </c>
      <c r="E11" s="10">
        <f>IFERROR(GetFZ(D11,dw_sat,c_eff,phi_eff,gamma,gammaw,beta),"-&gt; importa ModuloTrincee.bas")</f>
        <v>0.96903841942951308</v>
      </c>
      <c r="F11" s="10">
        <f>IFERROR(GetFZ(D11,dw_init,c_eff,phi_eff,gamma,gammaw,beta),"-&gt; importa ModuloTrincee.bas")</f>
        <v>1.252011857084439</v>
      </c>
      <c r="G11" s="10">
        <f>IFERROR(GetFZ(D11,dw_dry,c_eff,phi_eff,gamma,gammaw,beta),"-&gt; importa ModuloTrincee.bas")</f>
        <v>1.7330667010978129</v>
      </c>
    </row>
    <row r="12" spans="2:17" x14ac:dyDescent="0.25">
      <c r="D12" s="10">
        <f>DATI_INPUT!$B$4*7/20</f>
        <v>3.15</v>
      </c>
      <c r="E12" s="10">
        <f>IFERROR(GetFZ(D12,dw_sat,c_eff,phi_eff,gamma,gammaw,beta),"-&gt; importa ModuloTrincee.bas")</f>
        <v>0.93285308396902322</v>
      </c>
      <c r="F12" s="10">
        <f>IFERROR(GetFZ(D12,dw_init,c_eff,phi_eff,gamma,gammaw,beta),"-&gt; importa ModuloTrincee.bas")</f>
        <v>1.1754017448161025</v>
      </c>
      <c r="G12" s="10">
        <f>IFERROR(GetFZ(D12,dw_dry,c_eff,phi_eff,gamma,gammaw,beta),"-&gt; importa ModuloTrincee.bas")</f>
        <v>1.6968813656373229</v>
      </c>
    </row>
    <row r="13" spans="2:17" x14ac:dyDescent="0.25">
      <c r="D13" s="10">
        <f>DATI_INPUT!$B$4*8/20</f>
        <v>3.6</v>
      </c>
      <c r="E13" s="10">
        <f>IFERROR(GetFZ(D13,dw_sat,c_eff,phi_eff,gamma,gammaw,beta),"-&gt; importa ModuloTrincee.bas")</f>
        <v>0.90571408237365536</v>
      </c>
      <c r="F13" s="10">
        <f>IFERROR(GetFZ(D13,dw_init,c_eff,phi_eff,gamma,gammaw,beta),"-&gt; importa ModuloTrincee.bas")</f>
        <v>1.1179441606148499</v>
      </c>
      <c r="G13" s="10">
        <f>IFERROR(GetFZ(D13,dw_dry,c_eff,phi_eff,gamma,gammaw,beta),"-&gt; importa ModuloTrincee.bas")</f>
        <v>1.6697423640419551</v>
      </c>
    </row>
    <row r="14" spans="2:17" x14ac:dyDescent="0.25">
      <c r="D14" s="10">
        <f>DATI_INPUT!$B$4*9/20</f>
        <v>4.05</v>
      </c>
      <c r="E14" s="10">
        <f>IFERROR(GetFZ(D14,dw_sat,c_eff,phi_eff,gamma,gammaw,beta),"-&gt; importa ModuloTrincee.bas")</f>
        <v>0.88460597002170316</v>
      </c>
      <c r="F14" s="10">
        <f>IFERROR(GetFZ(D14,dw_init,c_eff,phi_eff,gamma,gammaw,beta),"-&gt; importa ModuloTrincee.bas")</f>
        <v>1.0732549284583204</v>
      </c>
      <c r="G14" s="10">
        <f>IFERROR(GetFZ(D14,dw_dry,c_eff,phi_eff,gamma,gammaw,beta),"-&gt; importa ModuloTrincee.bas")</f>
        <v>1.6486342516900028</v>
      </c>
    </row>
    <row r="15" spans="2:17" x14ac:dyDescent="0.25">
      <c r="D15" s="10">
        <f>DATI_INPUT!$B$4*10/20</f>
        <v>4.5</v>
      </c>
      <c r="E15" s="10">
        <f>IFERROR(GetFZ(D15,dw_sat,c_eff,phi_eff,gamma,gammaw,beta),"-&gt; importa ModuloTrincee.bas")</f>
        <v>0.86771948014014111</v>
      </c>
      <c r="F15" s="10">
        <f>IFERROR(GetFZ(D15,dw_init,c_eff,phi_eff,gamma,gammaw,beta),"-&gt; importa ModuloTrincee.bas")</f>
        <v>1.0375035427330965</v>
      </c>
      <c r="G15" s="10">
        <f>IFERROR(GetFZ(D15,dw_dry,c_eff,phi_eff,gamma,gammaw,beta),"-&gt; importa ModuloTrincee.bas")</f>
        <v>1.6317477618084408</v>
      </c>
    </row>
    <row r="16" spans="2:17" x14ac:dyDescent="0.25">
      <c r="D16" s="10">
        <f>DATI_INPUT!$B$4*11/20</f>
        <v>4.95</v>
      </c>
      <c r="E16" s="10">
        <f>IFERROR(GetFZ(D16,dw_sat,c_eff,phi_eff,gamma,gammaw,beta),"-&gt; importa ModuloTrincee.bas")</f>
        <v>0.85390326114613568</v>
      </c>
      <c r="F16" s="10">
        <f>IFERROR(GetFZ(D16,dw_init,c_eff,phi_eff,gamma,gammaw,beta),"-&gt; importa ModuloTrincee.bas")</f>
        <v>1.0082524089579135</v>
      </c>
      <c r="G16" s="10">
        <f>IFERROR(GetFZ(D16,dw_dry,c_eff,phi_eff,gamma,gammaw,beta),"-&gt; importa ModuloTrincee.bas")</f>
        <v>1.6179315428144354</v>
      </c>
    </row>
    <row r="17" spans="2:13" x14ac:dyDescent="0.25">
      <c r="D17" s="10">
        <f>DATI_INPUT!$B$4*12/20</f>
        <v>5.4</v>
      </c>
      <c r="E17" s="10">
        <f>IFERROR(GetFZ(D17,dw_sat,c_eff,phi_eff,gamma,gammaw,beta),"-&gt; importa ModuloTrincee.bas")</f>
        <v>0.84238974531779809</v>
      </c>
      <c r="F17" s="10">
        <f>IFERROR(GetFZ(D17,dw_init,c_eff,phi_eff,gamma,gammaw,beta),"-&gt; importa ModuloTrincee.bas")</f>
        <v>0.98387646414526098</v>
      </c>
      <c r="G17" s="10">
        <f>IFERROR(GetFZ(D17,dw_dry,c_eff,phi_eff,gamma,gammaw,beta),"-&gt; importa ModuloTrincee.bas")</f>
        <v>1.6064180269860979</v>
      </c>
    </row>
    <row r="18" spans="2:13" x14ac:dyDescent="0.25">
      <c r="D18" s="10">
        <f>DATI_INPUT!$B$4*13/20</f>
        <v>5.85</v>
      </c>
      <c r="E18" s="10">
        <f>IFERROR(GetFZ(D18,dw_sat,c_eff,phi_eff,gamma,gammaw,beta),"-&gt; importa ModuloTrincee.bas")</f>
        <v>0.83264753961689697</v>
      </c>
      <c r="F18" s="10">
        <f>IFERROR(GetFZ(D18,dw_init,c_eff,phi_eff,gamma,gammaw,beta),"-&gt; importa ModuloTrincee.bas")</f>
        <v>0.96325066468840126</v>
      </c>
      <c r="G18" s="10">
        <f>IFERROR(GetFZ(D18,dw_dry,c_eff,phi_eff,gamma,gammaw,beta),"-&gt; importa ModuloTrincee.bas")</f>
        <v>1.5966758212851968</v>
      </c>
    </row>
    <row r="19" spans="2:13" x14ac:dyDescent="0.25">
      <c r="D19" s="10">
        <f>DATI_INPUT!$B$4*14/20</f>
        <v>6.3</v>
      </c>
      <c r="E19" s="10">
        <f>IFERROR(GetFZ(D19,dw_sat,c_eff,phi_eff,gamma,gammaw,beta),"-&gt; importa ModuloTrincee.bas")</f>
        <v>0.82429707758755311</v>
      </c>
      <c r="F19" s="10">
        <f>IFERROR(GetFZ(D19,dw_init,c_eff,phi_eff,gamma,gammaw,beta),"-&gt; importa ModuloTrincee.bas")</f>
        <v>0.94557140801109274</v>
      </c>
      <c r="G19" s="10">
        <f>IFERROR(GetFZ(D19,dw_dry,c_eff,phi_eff,gamma,gammaw,beta),"-&gt; importa ModuloTrincee.bas")</f>
        <v>1.5519430601287909</v>
      </c>
    </row>
    <row r="20" spans="2:13" x14ac:dyDescent="0.25">
      <c r="D20" s="10">
        <f>DATI_INPUT!$B$4*15/20</f>
        <v>6.75</v>
      </c>
      <c r="E20" s="10">
        <f>IFERROR(GetFZ(D20,dw_sat,c_eff,phi_eff,gamma,gammaw,beta),"-&gt; importa ModuloTrincee.bas")</f>
        <v>0.81706001049545507</v>
      </c>
      <c r="F20" s="10">
        <f>IFERROR(GetFZ(D20,dw_init,c_eff,phi_eff,gamma,gammaw,beta),"-&gt; importa ModuloTrincee.bas")</f>
        <v>0.93024938555742542</v>
      </c>
      <c r="G20" s="10">
        <f>IFERROR(GetFZ(D20,dw_dry,c_eff,phi_eff,gamma,gammaw,beta),"-&gt; importa ModuloTrincee.bas")</f>
        <v>1.4961962608672772</v>
      </c>
    </row>
    <row r="21" spans="2:13" x14ac:dyDescent="0.25">
      <c r="D21" s="10">
        <f>DATI_INPUT!$B$4*16/20</f>
        <v>7.2</v>
      </c>
      <c r="E21" s="10">
        <f>IFERROR(GetFZ(D21,dw_sat,c_eff,phi_eff,gamma,gammaw,beta),"-&gt; importa ModuloTrincee.bas")</f>
        <v>0.81072757678986918</v>
      </c>
      <c r="F21" s="10">
        <f>IFERROR(GetFZ(D21,dw_init,c_eff,phi_eff,gamma,gammaw,beta),"-&gt; importa ModuloTrincee.bas")</f>
        <v>0.91684261591046634</v>
      </c>
      <c r="G21" s="10">
        <f>IFERROR(GetFZ(D21,dw_dry,c_eff,phi_eff,gamma,gammaw,beta),"-&gt; importa ModuloTrincee.bas")</f>
        <v>1.4474178115134522</v>
      </c>
    </row>
    <row r="22" spans="2:13" x14ac:dyDescent="0.25">
      <c r="D22" s="10">
        <f>DATI_INPUT!$B$4*17/20</f>
        <v>7.65</v>
      </c>
      <c r="E22" s="10">
        <f>IFERROR(GetFZ(D22,dw_sat,c_eff,phi_eff,gamma,gammaw,beta),"-&gt; importa ModuloTrincee.bas")</f>
        <v>0.80514013528494044</v>
      </c>
      <c r="F22" s="10">
        <f>IFERROR(GetFZ(D22,dw_init,c_eff,phi_eff,gamma,gammaw,beta),"-&gt; importa ModuloTrincee.bas")</f>
        <v>0.9050131132807967</v>
      </c>
      <c r="G22" s="10">
        <f>IFERROR(GetFZ(D22,dw_dry,c_eff,phi_eff,gamma,gammaw,beta),"-&gt; importa ModuloTrincee.bas")</f>
        <v>1.4043780032600777</v>
      </c>
    </row>
    <row r="23" spans="2:13" x14ac:dyDescent="0.25">
      <c r="D23" s="10">
        <f>DATI_INPUT!$B$4*18/20</f>
        <v>8.1</v>
      </c>
      <c r="E23" s="10">
        <f>IFERROR(GetFZ(D23,dw_sat,c_eff,phi_eff,gamma,gammaw,beta),"-&gt; importa ModuloTrincee.bas")</f>
        <v>0.80017352061389313</v>
      </c>
      <c r="F23" s="10">
        <f>IFERROR(GetFZ(D23,dw_init,c_eff,phi_eff,gamma,gammaw,beta),"-&gt; importa ModuloTrincee.bas")</f>
        <v>0.8944979998322018</v>
      </c>
      <c r="G23" s="10">
        <f>IFERROR(GetFZ(D23,dw_dry,c_eff,phi_eff,gamma,gammaw,beta),"-&gt; importa ModuloTrincee.bas")</f>
        <v>1.3661203959237447</v>
      </c>
    </row>
    <row r="24" spans="2:13" x14ac:dyDescent="0.25">
      <c r="D24" s="10">
        <f>DATI_INPUT!$B$4*19/20</f>
        <v>8.5500000000000007</v>
      </c>
      <c r="E24" s="10">
        <f>IFERROR(GetFZ(D24,dw_sat,c_eff,phi_eff,gamma,gammaw,beta),"-&gt; importa ModuloTrincee.bas")</f>
        <v>0.7957297074871662</v>
      </c>
      <c r="F24" s="10">
        <f>IFERROR(GetFZ(D24,dw_init,c_eff,phi_eff,gamma,gammaw,beta),"-&gt; importa ModuloTrincee.bas")</f>
        <v>0.885089740430827</v>
      </c>
      <c r="G24" s="10">
        <f>IFERROR(GetFZ(D24,dw_dry,c_eff,phi_eff,gamma,gammaw,beta),"-&gt; importa ModuloTrincee.bas")</f>
        <v>1.3318899051491309</v>
      </c>
    </row>
    <row r="25" spans="2:13" x14ac:dyDescent="0.25">
      <c r="D25" s="10">
        <f>DATI_INPUT!$B$4*20/20</f>
        <v>9</v>
      </c>
      <c r="E25" s="10">
        <f>IFERROR(GetFZ(D25,dw_sat,c_eff,phi_eff,gamma,gammaw,beta),"-&gt; importa ModuloTrincee.bas")</f>
        <v>0.79173027567311205</v>
      </c>
      <c r="F25" s="10">
        <f>IFERROR(GetFZ(D25,dw_init,c_eff,phi_eff,gamma,gammaw,beta),"-&gt; importa ModuloTrincee.bas")</f>
        <v>0.87662230696958976</v>
      </c>
      <c r="G25" s="10">
        <f>IFERROR(GetFZ(D25,dw_dry,c_eff,phi_eff,gamma,gammaw,beta),"-&gt; importa ModuloTrincee.bas")</f>
        <v>1.3010824634519786</v>
      </c>
      <c r="J25" s="4"/>
      <c r="K25" s="4"/>
      <c r="L25" s="4"/>
      <c r="M25" s="4"/>
    </row>
    <row r="27" spans="2:13" x14ac:dyDescent="0.25">
      <c r="B27" s="39" t="s">
        <v>57</v>
      </c>
      <c r="C27" s="39"/>
      <c r="D27" s="39"/>
      <c r="E27" s="39"/>
      <c r="F27" s="39"/>
      <c r="G27" s="39"/>
    </row>
    <row r="29" spans="2:13" x14ac:dyDescent="0.25">
      <c r="B29" s="1" t="s">
        <v>58</v>
      </c>
      <c r="C29" s="5">
        <f>DATI_INPUT!$B$23</f>
        <v>1.3</v>
      </c>
      <c r="D29" s="40" t="s">
        <v>36</v>
      </c>
      <c r="E29" s="41"/>
      <c r="F29" s="41"/>
      <c r="G29" s="41"/>
    </row>
    <row r="30" spans="2:13" x14ac:dyDescent="0.25">
      <c r="B30" s="1" t="s">
        <v>59</v>
      </c>
      <c r="C30" s="6">
        <f>mesi_target</f>
        <v>6</v>
      </c>
      <c r="D30" s="40" t="s">
        <v>119</v>
      </c>
      <c r="E30" s="41"/>
      <c r="F30" s="41"/>
      <c r="G30" s="41"/>
    </row>
    <row r="31" spans="2:13" x14ac:dyDescent="0.25">
      <c r="B31" s="1" t="s">
        <v>60</v>
      </c>
      <c r="C31" s="6" t="str">
        <f>"F ≥ "&amp;F_short&amp;" raggiunto entro "&amp;DATI_INPUT!$B$25&amp;" mesi "</f>
        <v xml:space="preserve">F ≥ 1,1 raggiunto entro 6 mesi </v>
      </c>
      <c r="D31" s="40" t="s">
        <v>61</v>
      </c>
      <c r="E31" s="41"/>
      <c r="F31" s="41"/>
      <c r="G31" s="41"/>
    </row>
    <row r="33" spans="2:7" x14ac:dyDescent="0.25">
      <c r="B33" s="39" t="s">
        <v>62</v>
      </c>
      <c r="C33" s="39"/>
      <c r="D33" s="39"/>
      <c r="E33" s="39"/>
      <c r="F33" s="39"/>
      <c r="G33" s="39"/>
    </row>
    <row r="35" spans="2:7" x14ac:dyDescent="0.25">
      <c r="B35" s="1" t="s">
        <v>102</v>
      </c>
      <c r="C35" s="7">
        <f>IFERROR(GetFZ(D_piano,dw_init,c_eff,phi_eff,gamma,gammaw,beta),"-&gt; importa ModuloTrincee.bas")</f>
        <v>0.95706292485134314</v>
      </c>
      <c r="D35" s="40" t="s">
        <v>36</v>
      </c>
      <c r="E35" s="41"/>
      <c r="F35" s="41"/>
      <c r="G35" s="41"/>
    </row>
    <row r="36" spans="2:7" x14ac:dyDescent="0.25">
      <c r="B36" s="1" t="s">
        <v>63</v>
      </c>
      <c r="C36" s="7">
        <f>IFERROR(GetFZ(D_piano,dw_dry,c_eff,phi_eff,gamma,gammaw,beta),"-&gt; importa ModuloTrincee.bas")</f>
        <v>1.5937531595749261</v>
      </c>
      <c r="D36" s="40" t="s">
        <v>36</v>
      </c>
      <c r="E36" s="41"/>
      <c r="F36" s="41"/>
      <c r="G36" s="41"/>
    </row>
    <row r="37" spans="2:7" x14ac:dyDescent="0.25">
      <c r="B37" s="1" t="s">
        <v>64</v>
      </c>
      <c r="C37" s="8">
        <f>C29-C35</f>
        <v>0.3429370751486569</v>
      </c>
      <c r="D37" s="40" t="s">
        <v>36</v>
      </c>
      <c r="E37" s="41"/>
      <c r="F37" s="41"/>
      <c r="G37" s="41"/>
    </row>
    <row r="38" spans="2:7" x14ac:dyDescent="0.25">
      <c r="B38" s="1" t="s">
        <v>65</v>
      </c>
      <c r="C38" s="8">
        <f>C36-C35</f>
        <v>0.63669023472358299</v>
      </c>
      <c r="D38" s="40" t="s">
        <v>36</v>
      </c>
      <c r="E38" s="41"/>
      <c r="F38" s="41"/>
      <c r="G38" s="41"/>
    </row>
    <row r="39" spans="2:7" x14ac:dyDescent="0.25">
      <c r="B39" s="1" t="s">
        <v>66</v>
      </c>
      <c r="C39" s="7">
        <f>C37/C38</f>
        <v>0.53862468190287527</v>
      </c>
      <c r="D39" s="40" t="s">
        <v>36</v>
      </c>
      <c r="E39" s="41"/>
      <c r="F39" s="41"/>
      <c r="G39" s="41"/>
    </row>
    <row r="41" spans="2:7" x14ac:dyDescent="0.25">
      <c r="B41" s="39" t="s">
        <v>67</v>
      </c>
      <c r="C41" s="39"/>
      <c r="D41" s="39"/>
      <c r="E41" s="39"/>
      <c r="F41" s="39"/>
      <c r="G41" s="39"/>
    </row>
    <row r="43" spans="2:7" x14ac:dyDescent="0.25">
      <c r="B43" s="1" t="s">
        <v>68</v>
      </c>
      <c r="C43" s="6" t="str">
        <f>DATI_INPUT!$B$28&amp;" / "&amp;DATI_INPUT!$B$29</f>
        <v>1,5 / 1</v>
      </c>
      <c r="D43" s="40" t="s">
        <v>69</v>
      </c>
      <c r="E43" s="41"/>
      <c r="F43" s="41"/>
      <c r="G43" s="41"/>
    </row>
    <row r="44" spans="2:7" x14ac:dyDescent="0.25">
      <c r="B44" s="41" t="s">
        <v>106</v>
      </c>
      <c r="C44" s="41"/>
    </row>
    <row r="45" spans="2:7" x14ac:dyDescent="0.25">
      <c r="B45" s="1" t="s">
        <v>128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2.9446791221275923</v>
      </c>
      <c r="D45" s="40" t="s">
        <v>36</v>
      </c>
      <c r="E45" s="41"/>
      <c r="F45" s="41"/>
      <c r="G45" s="41"/>
    </row>
    <row r="46" spans="2:7" x14ac:dyDescent="0.25">
      <c r="B46" s="1" t="s">
        <v>129</v>
      </c>
      <c r="C46" s="30">
        <f>IF(ISNUMBER(C45),C45*H0,C45)</f>
        <v>17.668074732765554</v>
      </c>
      <c r="D46" s="40" t="s">
        <v>23</v>
      </c>
      <c r="E46" s="48"/>
      <c r="F46" s="48"/>
      <c r="G46" s="48"/>
    </row>
    <row r="47" spans="2:7" x14ac:dyDescent="0.25">
      <c r="B47" s="1" t="s">
        <v>130</v>
      </c>
      <c r="C47" s="30">
        <f>C46*SQRT(kh/kv)</f>
        <v>24.986430908098445</v>
      </c>
      <c r="D47" s="40" t="s">
        <v>23</v>
      </c>
      <c r="E47" s="41"/>
      <c r="F47" s="41"/>
      <c r="G47" s="41"/>
    </row>
    <row r="48" spans="2:7" x14ac:dyDescent="0.25">
      <c r="B48" s="22"/>
      <c r="C48" s="22"/>
      <c r="D48" s="22"/>
      <c r="E48" s="22"/>
      <c r="F48" s="22"/>
      <c r="G48" s="22"/>
    </row>
    <row r="49" spans="2:7" x14ac:dyDescent="0.25">
      <c r="B49" s="41" t="s">
        <v>107</v>
      </c>
      <c r="C49" s="41"/>
    </row>
    <row r="50" spans="2:7" x14ac:dyDescent="0.25">
      <c r="B50" s="1" t="s">
        <v>103</v>
      </c>
      <c r="C50" s="9">
        <v>24</v>
      </c>
      <c r="D50" s="40" t="s">
        <v>23</v>
      </c>
      <c r="E50" s="41"/>
      <c r="F50" s="41"/>
      <c r="G50" s="41"/>
    </row>
    <row r="51" spans="2:7" x14ac:dyDescent="0.25">
      <c r="B51" s="1" t="s">
        <v>104</v>
      </c>
      <c r="C51" s="23">
        <f>IFERROR(C50/H0,"")</f>
        <v>4</v>
      </c>
      <c r="D51" s="40" t="s">
        <v>36</v>
      </c>
      <c r="E51" s="41"/>
      <c r="F51" s="41"/>
      <c r="G51" s="41"/>
    </row>
    <row r="52" spans="2:7" x14ac:dyDescent="0.25">
      <c r="B52" s="1" t="s">
        <v>135</v>
      </c>
      <c r="C52" s="23">
        <f>C51*SQRT(kv/kh)</f>
        <v>2.8284271247461903</v>
      </c>
      <c r="D52" s="40" t="s">
        <v>36</v>
      </c>
      <c r="E52" s="48"/>
      <c r="F52" s="48"/>
      <c r="G52" s="48"/>
    </row>
    <row r="53" spans="2:7" x14ac:dyDescent="0.25">
      <c r="B53" s="1" t="s">
        <v>131</v>
      </c>
      <c r="C53" s="7" cm="1">
        <f t="array" ref="C53">IF(ISNA(GetEfficienza(n_cfg,d_cfg,C52)),
    "S/H0 di progetto fuori dal campo dell'abaco (S/H0 ammesso: "&amp;GetAbacoXRange("EFF",n_cfg,d_cfg)&amp;")",
    IFERROR(GetEfficienza(n_cfg,d_cfg,C52),"-&gt; importa ModuloTrincee.bas"))</f>
        <v>0.55499293199886912</v>
      </c>
      <c r="D53" s="40" t="s">
        <v>36</v>
      </c>
      <c r="E53" s="41"/>
      <c r="F53" s="41"/>
      <c r="G53" s="41"/>
    </row>
    <row r="54" spans="2:7" x14ac:dyDescent="0.25">
      <c r="B54" s="1" t="s">
        <v>105</v>
      </c>
      <c r="C54" s="7" t="str">
        <f>IF(OR(NOT(ISNUMBER(C53)),NOT(ISNUMBER(C39))),"-&gt; importa ModuloTrincee.bas",IF(C53&gt;=C39,"VERIFICATO: interasse scelto soddisfa F_target","NON VERIFICATO: ridurre interasse o rivedere F_target"))</f>
        <v>VERIFICATO: interasse scelto soddisfa F_target</v>
      </c>
      <c r="D54" s="42"/>
      <c r="E54" s="43"/>
      <c r="F54" s="43"/>
      <c r="G54" s="43"/>
    </row>
    <row r="56" spans="2:7" x14ac:dyDescent="0.25">
      <c r="B56" s="39" t="s">
        <v>70</v>
      </c>
      <c r="C56" s="39"/>
      <c r="D56" s="39"/>
      <c r="E56" s="39"/>
      <c r="F56" s="39"/>
      <c r="G56" s="39"/>
    </row>
    <row r="58" spans="2:7" x14ac:dyDescent="0.25">
      <c r="B58" s="1" t="s">
        <v>132</v>
      </c>
      <c r="C58" s="7" cm="1">
        <f t="array" ref="C58">IF(ISNA(gett("T50",n_tempi,d_cfg,C52)),
    "S/H0 fuori dal campo dell'abaco T50 (ammesso: "&amp;GetAbacoXRange("T50",n_tempi,d_cfg)&amp;")",
    IFERROR(gett("T50",n_tempi,d_cfg,C52),"-&gt; importa ModuloTrincee.bas"))</f>
        <v>0.22109748867241455</v>
      </c>
      <c r="D58" s="40" t="s">
        <v>36</v>
      </c>
      <c r="E58" s="41"/>
      <c r="F58" s="41"/>
      <c r="G58" s="41"/>
    </row>
    <row r="59" spans="2:7" x14ac:dyDescent="0.25">
      <c r="B59" s="1" t="s">
        <v>133</v>
      </c>
      <c r="C59" s="7" cm="1">
        <f t="array" ref="C59">IF(ISNA(gett("T90",n_tempi,d_cfg,C52)),
    "S/H0 fuori dal campo dell'abaco T90 (ammesso: "&amp;GetAbacoXRange("T90",n_tempi,d_cfg)&amp;")",
    IFERROR(gett("T90",n_tempi,d_cfg,C52),"-&gt; importa ModuloTrincee.bas"))</f>
        <v>2.9288989432352714</v>
      </c>
      <c r="D59" s="40" t="s">
        <v>36</v>
      </c>
      <c r="E59" s="41"/>
      <c r="F59" s="41"/>
      <c r="G59" s="41"/>
    </row>
    <row r="60" spans="2:7" x14ac:dyDescent="0.25">
      <c r="B60" s="1" t="s">
        <v>71</v>
      </c>
      <c r="C60" s="23">
        <f>IFERROR(C58*(2*(1+nu)*(1-2*nu)*gammaw*H0^2)/(Emod*kv)/(30*86400),"")</f>
        <v>5.0207554719360807</v>
      </c>
      <c r="D60" s="40" t="s">
        <v>45</v>
      </c>
      <c r="E60" s="41"/>
      <c r="F60" s="41"/>
      <c r="G60" s="41"/>
    </row>
    <row r="61" spans="2:7" x14ac:dyDescent="0.25">
      <c r="B61" s="1" t="s">
        <v>72</v>
      </c>
      <c r="C61" s="23">
        <f>IFERROR(C59*(2*(1+nu)*(1-2*nu)*gammaw*H0^2)/(Emod*kv)/(30*86400),"")</f>
        <v>66.510413502634279</v>
      </c>
      <c r="D61" s="40" t="s">
        <v>45</v>
      </c>
      <c r="E61" s="41"/>
      <c r="F61" s="41"/>
      <c r="G61" s="41"/>
    </row>
    <row r="62" spans="2:7" x14ac:dyDescent="0.25">
      <c r="B62" s="1" t="s">
        <v>108</v>
      </c>
      <c r="C62" s="8">
        <f>IFERROR(C53*C38,"")</f>
        <v>0.3533585801442895</v>
      </c>
      <c r="D62" s="40" t="s">
        <v>36</v>
      </c>
      <c r="E62" s="41"/>
      <c r="F62" s="41"/>
      <c r="G62" s="41"/>
    </row>
    <row r="63" spans="2:7" x14ac:dyDescent="0.25">
      <c r="B63" s="1" t="s">
        <v>109</v>
      </c>
      <c r="C63" s="7">
        <f>IFERROR(C35+C62,"")</f>
        <v>1.3104215049956327</v>
      </c>
      <c r="D63" s="40" t="s">
        <v>36</v>
      </c>
      <c r="E63" s="41"/>
      <c r="F63" s="41"/>
      <c r="G63" s="41"/>
    </row>
    <row r="64" spans="2:7" x14ac:dyDescent="0.25">
      <c r="B64" s="1" t="s">
        <v>110</v>
      </c>
      <c r="C64" s="8">
        <f>IFERROR(C35+0.5*C62,"")</f>
        <v>1.1337422149234879</v>
      </c>
      <c r="D64" s="40" t="s">
        <v>36</v>
      </c>
      <c r="E64" s="41"/>
      <c r="F64" s="41"/>
      <c r="G64" s="41"/>
    </row>
    <row r="65" spans="2:7" x14ac:dyDescent="0.25">
      <c r="B65" s="1" t="s">
        <v>111</v>
      </c>
      <c r="C65" s="8">
        <f>IFERROR(C35+0.9*C62,"")</f>
        <v>1.2750856469812037</v>
      </c>
      <c r="D65" s="40" t="s">
        <v>36</v>
      </c>
      <c r="E65" s="41"/>
      <c r="F65" s="41"/>
      <c r="G65" s="41"/>
    </row>
    <row r="66" spans="2:7" x14ac:dyDescent="0.25">
      <c r="B66" s="1" t="s">
        <v>118</v>
      </c>
      <c r="C66" s="7" t="str">
        <f>IF(AND(C64 &gt;= F_short, C60 &lt;= mesi_target), "VERIFICATO", "NON verificato")</f>
        <v>VERIFICATO</v>
      </c>
      <c r="D66" s="3"/>
    </row>
    <row r="68" spans="2:7" x14ac:dyDescent="0.25">
      <c r="B68" s="39" t="s">
        <v>73</v>
      </c>
      <c r="C68" s="39"/>
      <c r="D68" s="39"/>
      <c r="E68" s="39"/>
      <c r="F68" s="39"/>
      <c r="G68" s="39"/>
    </row>
    <row r="70" spans="2:7" x14ac:dyDescent="0.25">
      <c r="B70" s="1" t="s">
        <v>74</v>
      </c>
      <c r="C70" s="23">
        <f>IFERROR(C50*SQRT(DATI_INPUT!$B$11/DATI_INPUT!$B$10)/(2*DATI_INPUT!$B$6),"")</f>
        <v>1.4142135623730951</v>
      </c>
      <c r="D70" s="40" t="s">
        <v>36</v>
      </c>
      <c r="E70" s="41"/>
      <c r="F70" s="41"/>
      <c r="G70" s="41"/>
    </row>
    <row r="71" spans="2:7" x14ac:dyDescent="0.25">
      <c r="B71" s="1" t="s">
        <v>75</v>
      </c>
      <c r="C71" s="23" cm="1">
        <f t="array" ref="C71">IF(ISNA(getqadim(C70)),
    "s fuori dal campo dell'abaco di portata (ammesso: "&amp;GetAbacoXRange("Q",0,0)&amp;")",
    IFERROR(getqadim(C70),"-&gt; importa ModuloTrincee.bas"))</f>
        <v>1.4529920652750568</v>
      </c>
      <c r="D71" s="40" t="s">
        <v>36</v>
      </c>
      <c r="E71" s="41"/>
      <c r="F71" s="41"/>
      <c r="G71" s="41"/>
    </row>
    <row r="72" spans="2:7" x14ac:dyDescent="0.25">
      <c r="B72" s="1" t="s">
        <v>76</v>
      </c>
      <c r="C72" s="24">
        <f>IFERROR(C71*DATI_INPUT!$B$11*DATI_INPUT!$B$6*1000*3600,"")</f>
        <v>9.4153885829823675E-2</v>
      </c>
      <c r="D72" s="40" t="s">
        <v>77</v>
      </c>
      <c r="E72" s="41"/>
      <c r="F72" s="41"/>
      <c r="G72" s="41"/>
    </row>
    <row r="73" spans="2:7" x14ac:dyDescent="0.25">
      <c r="B73" s="1" t="s">
        <v>78</v>
      </c>
      <c r="C73" s="24">
        <f>IFERROR(C72*DATI_INPUT!$B$33,"")</f>
        <v>4.7076942914911841</v>
      </c>
      <c r="D73" s="40" t="s">
        <v>79</v>
      </c>
      <c r="E73" s="41"/>
      <c r="F73" s="41"/>
      <c r="G73" s="41"/>
    </row>
  </sheetData>
  <mergeCells count="38">
    <mergeCell ref="D53:G53"/>
    <mergeCell ref="D54:G54"/>
    <mergeCell ref="B49:C49"/>
    <mergeCell ref="B44:C44"/>
    <mergeCell ref="D43:G43"/>
    <mergeCell ref="D45:G45"/>
    <mergeCell ref="D47:G47"/>
    <mergeCell ref="D50:G50"/>
    <mergeCell ref="D51:G51"/>
    <mergeCell ref="D52:G52"/>
    <mergeCell ref="D46:G46"/>
    <mergeCell ref="D71:G71"/>
    <mergeCell ref="D72:G72"/>
    <mergeCell ref="D73:G73"/>
    <mergeCell ref="D63:G63"/>
    <mergeCell ref="B56:G56"/>
    <mergeCell ref="B68:G68"/>
    <mergeCell ref="D62:G62"/>
    <mergeCell ref="D61:G61"/>
    <mergeCell ref="D60:G60"/>
    <mergeCell ref="D59:G59"/>
    <mergeCell ref="D58:G58"/>
    <mergeCell ref="D70:G70"/>
    <mergeCell ref="D64:G64"/>
    <mergeCell ref="D65:G65"/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130" zoomScaleNormal="130" workbookViewId="0">
      <selection activeCell="G5" sqref="G5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6" t="s">
        <v>84</v>
      </c>
      <c r="B1" s="46"/>
      <c r="C1" s="46"/>
      <c r="D1" s="46"/>
      <c r="E1" s="46"/>
      <c r="F1" s="46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112</v>
      </c>
      <c r="B2">
        <v>1</v>
      </c>
      <c r="D2" t="s">
        <v>112</v>
      </c>
      <c r="E2">
        <v>1</v>
      </c>
      <c r="G2" s="47" t="s">
        <v>115</v>
      </c>
      <c r="H2" s="47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134</v>
      </c>
      <c r="H3" s="26" t="s">
        <v>96</v>
      </c>
      <c r="I3" s="26" t="s">
        <v>80</v>
      </c>
    </row>
    <row r="4" spans="1:41" x14ac:dyDescent="0.25">
      <c r="A4" s="3" t="s">
        <v>113</v>
      </c>
      <c r="B4" s="3" t="s">
        <v>114</v>
      </c>
      <c r="D4" s="3" t="s">
        <v>85</v>
      </c>
      <c r="E4" s="3" t="s">
        <v>86</v>
      </c>
      <c r="G4" s="27">
        <f>ANALISI!C52</f>
        <v>2.8284271247461903</v>
      </c>
      <c r="H4" s="27" cm="1">
        <f t="array" ref="H4">GetEfficienza(B$2,I4,G4)</f>
        <v>0.53640635954570071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35">
        <f>G4</f>
        <v>2.8284271247461903</v>
      </c>
      <c r="H5" s="28" cm="1">
        <f t="array" ref="H5">GetEfficienza(B$2,I5,G5)</f>
        <v>0.43807348232928089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J4" sqref="J4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6" t="s">
        <v>84</v>
      </c>
      <c r="B1" s="46"/>
      <c r="C1" s="46"/>
      <c r="D1" s="46"/>
      <c r="E1" s="46"/>
      <c r="F1" s="46"/>
      <c r="G1" s="46"/>
      <c r="H1" s="46"/>
      <c r="I1" s="46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112</v>
      </c>
      <c r="B2">
        <v>1.5</v>
      </c>
      <c r="D2" t="s">
        <v>112</v>
      </c>
      <c r="E2">
        <v>1.5</v>
      </c>
      <c r="G2" t="s">
        <v>112</v>
      </c>
      <c r="H2">
        <v>1.5</v>
      </c>
      <c r="J2" s="47" t="s">
        <v>115</v>
      </c>
      <c r="K2" s="47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134</v>
      </c>
      <c r="K3" s="26" t="s">
        <v>96</v>
      </c>
      <c r="L3" s="26" t="s">
        <v>80</v>
      </c>
    </row>
    <row r="4" spans="1:44" x14ac:dyDescent="0.25">
      <c r="A4" s="3" t="s">
        <v>113</v>
      </c>
      <c r="B4" s="3" t="s">
        <v>114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ANALISI!C52</f>
        <v>2.8284271247461903</v>
      </c>
      <c r="K4" s="27" cm="1">
        <f t="array" ref="K4">GetEfficienza(B$2,L4,J4)</f>
        <v>0.63793686004157357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35">
        <f>J4</f>
        <v>2.8284271247461903</v>
      </c>
      <c r="K5" s="28" cm="1">
        <f t="array" ref="K5">GetEfficienza(B$2,L5,J5)</f>
        <v>0.55499293199886912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2.8284271247461903</v>
      </c>
      <c r="K6" s="27" cm="1">
        <f t="array" ref="K6">GetEfficienza(B$2,L6,J6)</f>
        <v>0.36945748366701492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6" t="s">
        <v>84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2.5</v>
      </c>
      <c r="D2" t="s">
        <v>112</v>
      </c>
      <c r="E2">
        <v>2.5</v>
      </c>
      <c r="G2" t="s">
        <v>112</v>
      </c>
      <c r="H2">
        <v>2.5</v>
      </c>
      <c r="J2" t="s">
        <v>112</v>
      </c>
      <c r="K2">
        <v>2.5</v>
      </c>
      <c r="M2" s="47" t="s">
        <v>115</v>
      </c>
      <c r="N2" s="4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3" t="s">
        <v>114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27">
        <f>ANALISI!C52</f>
        <v>2.8284271247461903</v>
      </c>
      <c r="N4" s="27" cm="1">
        <f t="array" ref="N4">GetEfficienza(B$2,O4,M4)</f>
        <v>0.64918452669368176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35">
        <f>M4</f>
        <v>2.8284271247461903</v>
      </c>
      <c r="N5" s="28" cm="1">
        <f t="array" ref="N5">GetEfficienza(B$2,O5,M5)</f>
        <v>0.56502372001094692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27">
        <f>M5</f>
        <v>2.8284271247461903</v>
      </c>
      <c r="N6" s="27" cm="1">
        <f t="array" ref="N6">GetEfficienza(B$2,O6,M6)</f>
        <v>0.37593982270042831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35">
        <f>M5</f>
        <v>2.8284271247461903</v>
      </c>
      <c r="N7" s="28" cm="1">
        <f t="array" ref="N7">GetEfficienza(B$2,O7,M7)</f>
        <v>0.28315113907235595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6" t="s">
        <v>84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4</v>
      </c>
      <c r="D2" t="s">
        <v>112</v>
      </c>
      <c r="E2">
        <v>4</v>
      </c>
      <c r="G2" t="s">
        <v>112</v>
      </c>
      <c r="H2">
        <v>4</v>
      </c>
      <c r="J2" t="s">
        <v>112</v>
      </c>
      <c r="K2">
        <v>4</v>
      </c>
      <c r="M2" s="47" t="s">
        <v>115</v>
      </c>
      <c r="N2" s="4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3" t="s">
        <v>114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27">
        <f>ANALISI!C52</f>
        <v>2.8284271247461903</v>
      </c>
      <c r="N4" s="27" cm="1">
        <f t="array" ref="N4">GetEfficienza(B$2,O4,M4)</f>
        <v>0.64122391789387723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35">
        <f>M4</f>
        <v>2.8284271247461903</v>
      </c>
      <c r="N5" s="28" cm="1">
        <f t="array" ref="N5">GetEfficienza(B$2,O5,M5)</f>
        <v>0.56308025213927571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27">
        <f>M5</f>
        <v>2.8284271247461903</v>
      </c>
      <c r="N6" s="27" cm="1">
        <f t="array" ref="N6">GetEfficienza(B$2,O6,M6)</f>
        <v>0.37590754473629984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35">
        <f>M5</f>
        <v>2.8284271247461903</v>
      </c>
      <c r="N7" s="28" cm="1">
        <f t="array" ref="N7">GetEfficienza(B$2,O7,M7)</f>
        <v>0.28178203807144114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topLeftCell="A2" workbookViewId="0">
      <selection activeCell="G4" sqref="G4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6" t="s">
        <v>84</v>
      </c>
      <c r="B1" s="46"/>
      <c r="C1" s="46"/>
      <c r="D1" s="46"/>
      <c r="E1" s="46"/>
      <c r="F1" s="46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112</v>
      </c>
      <c r="B2">
        <v>1</v>
      </c>
      <c r="D2" t="s">
        <v>112</v>
      </c>
      <c r="E2">
        <v>1</v>
      </c>
      <c r="G2" s="47" t="s">
        <v>115</v>
      </c>
      <c r="H2" s="47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134</v>
      </c>
      <c r="H3" s="26" t="s">
        <v>96</v>
      </c>
      <c r="I3" s="26" t="s">
        <v>80</v>
      </c>
    </row>
    <row r="4" spans="1:41" x14ac:dyDescent="0.25">
      <c r="A4" s="3" t="s">
        <v>113</v>
      </c>
      <c r="B4" s="15" t="s">
        <v>81</v>
      </c>
      <c r="D4" s="3" t="s">
        <v>113</v>
      </c>
      <c r="E4" s="15" t="s">
        <v>81</v>
      </c>
      <c r="G4" s="27">
        <f>ANALISI!C52</f>
        <v>2.8284271247461903</v>
      </c>
      <c r="H4" s="27" cm="1">
        <f t="array" ref="H4">gett("T50",E$2,I$4,G4)</f>
        <v>5.7036767641874646E-2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1.7445375989448208E-3</v>
      </c>
      <c r="D5">
        <v>0.50801507800000001</v>
      </c>
      <c r="E5" cm="1">
        <f t="array" ref="E5">gett("T50",E$2,E$3,D5)</f>
        <v>2.33037679932865E-3</v>
      </c>
      <c r="G5" s="35">
        <f>G4</f>
        <v>2.8284271247461903</v>
      </c>
      <c r="H5" s="28" cm="1">
        <f t="array" ref="H5">gett("T50",E$2,I$5,G5)</f>
        <v>8.0309867313937494E-2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1.8882886571193274E-3</v>
      </c>
      <c r="D6">
        <v>0.51768684499999995</v>
      </c>
      <c r="E6" cm="1">
        <f t="array" ref="E6">gett("T50",E$2,E$3,D6)</f>
        <v>2.6056221480398596E-3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2.2219225192920663E-3</v>
      </c>
      <c r="D7">
        <v>0.56431970499999995</v>
      </c>
      <c r="E7" cm="1">
        <f t="array" ref="E7">gett("T50",E$2,E$3,D7)</f>
        <v>4.1754631395730544E-3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3.2465407224552766E-3</v>
      </c>
      <c r="D8">
        <v>0.62724407299999996</v>
      </c>
      <c r="E8" cm="1">
        <f t="array" ref="E8">gett("T50",E$2,E$3,D8)</f>
        <v>6.7584218968357946E-3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4.7585405324305748E-3</v>
      </c>
      <c r="D9">
        <v>0.71169048899999998</v>
      </c>
      <c r="E9" cm="1">
        <f t="array" ref="E9">gett("T50",E$2,E$3,D9)</f>
        <v>1.0359307526078975E-2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7.2536412170021219E-3</v>
      </c>
      <c r="D10">
        <v>0.80694529000000004</v>
      </c>
      <c r="E10" cm="1">
        <f t="array" ref="E10">gett("T50",E$2,E$3,D10)</f>
        <v>1.3758254894933151E-2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1.2171843193182355E-2</v>
      </c>
      <c r="D11">
        <v>0.98214213699999997</v>
      </c>
      <c r="E11" cm="1">
        <f t="array" ref="E11">gett("T50",E$2,E$3,D11)</f>
        <v>1.9458733291608066E-2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1.569705197560833E-2</v>
      </c>
      <c r="D12">
        <v>1.2057083420000001</v>
      </c>
      <c r="E12" cm="1">
        <f t="array" ref="E12">gett("T50",E$2,E$3,D12)</f>
        <v>2.8161438660117694E-2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2.025908990538643E-2</v>
      </c>
      <c r="D13">
        <v>1.4456923450000001</v>
      </c>
      <c r="E13" cm="1">
        <f t="array" ref="E13">gett("T50",E$2,E$3,D13)</f>
        <v>3.8759546129510193E-2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2.6063604825222905E-2</v>
      </c>
      <c r="D14">
        <v>1.6484942460000001</v>
      </c>
      <c r="E14" cm="1">
        <f t="array" ref="E14">gett("T50",E$2,E$3,D14)</f>
        <v>4.8006238607635782E-2</v>
      </c>
    </row>
    <row r="15" spans="1:41" x14ac:dyDescent="0.25">
      <c r="A15">
        <v>1.6045661120000001</v>
      </c>
      <c r="B15" cm="1">
        <f t="array" ref="B15">gett("T50",B$2,B$3,A15)</f>
        <v>3.2265331130189472E-2</v>
      </c>
      <c r="D15">
        <v>1.910284452</v>
      </c>
      <c r="E15" cm="1">
        <f t="array" ref="E15">gett("T50",E$2,E$3,D15)</f>
        <v>5.920348229472075E-2</v>
      </c>
    </row>
    <row r="16" spans="1:41" x14ac:dyDescent="0.25">
      <c r="A16">
        <v>1.8182079689999999</v>
      </c>
      <c r="B16" cm="1">
        <f t="array" ref="B16">gett("T50",B$2,B$3,A16)</f>
        <v>3.8783950993016417E-2</v>
      </c>
      <c r="D16">
        <v>2.1294725780000001</v>
      </c>
      <c r="E16" cm="1">
        <f t="array" ref="E16">gett("T50",E$2,E$3,D16)</f>
        <v>6.7131208546724636E-2</v>
      </c>
    </row>
    <row r="17" spans="1:5" x14ac:dyDescent="0.25">
      <c r="A17">
        <v>2.3850534890000001</v>
      </c>
      <c r="B17" cm="1">
        <f t="array" ref="B17">gett("T50",B$2,B$3,A17)</f>
        <v>5.2104671486521523E-2</v>
      </c>
      <c r="D17">
        <v>2.3809279910000001</v>
      </c>
      <c r="E17" cm="1">
        <f t="array" ref="E17">gett("T50",E$2,E$3,D17)</f>
        <v>7.4012473341271021E-2</v>
      </c>
    </row>
    <row r="18" spans="1:5" x14ac:dyDescent="0.25">
      <c r="A18">
        <v>2.7490655359999998</v>
      </c>
      <c r="B18" cm="1">
        <f t="array" ref="B18">gett("T50",B$2,B$3,A18)</f>
        <v>5.6479438155163306E-2</v>
      </c>
      <c r="D18">
        <v>2.6110507919999999</v>
      </c>
      <c r="E18" cm="1">
        <f t="array" ref="E18">gett("T50",E$2,E$3,D18)</f>
        <v>7.8126608089828894E-2</v>
      </c>
    </row>
    <row r="19" spans="1:5" x14ac:dyDescent="0.25">
      <c r="A19">
        <v>3.113235446</v>
      </c>
      <c r="B19" cm="1">
        <f t="array" ref="B19">gett("T50",B$2,B$3,A19)</f>
        <v>5.818517119680789E-2</v>
      </c>
      <c r="D19">
        <v>2.9591186309999999</v>
      </c>
      <c r="E19" cm="1">
        <f t="array" ref="E19">gett("T50",E$2,E$3,D19)</f>
        <v>8.0988342262565433E-2</v>
      </c>
    </row>
    <row r="20" spans="1:5" x14ac:dyDescent="0.25">
      <c r="A20">
        <v>3.3864339170000002</v>
      </c>
      <c r="B20" cm="1">
        <f t="array" ref="B20">gett("T50",B$2,B$3,A20)</f>
        <v>5.8548088461529944E-2</v>
      </c>
      <c r="D20">
        <v>3.2376107890000001</v>
      </c>
      <c r="E20" cm="1">
        <f t="array" ref="E20">gett("T50",E$2,E$3,D20)</f>
        <v>8.1412674235957147E-2</v>
      </c>
    </row>
    <row r="21" spans="1:5" x14ac:dyDescent="0.25">
      <c r="A21">
        <v>3.7025501959999998</v>
      </c>
      <c r="B21" cm="1">
        <f t="array" ref="B21">gett("T50",B$2,B$3,A21)</f>
        <v>5.8604317929106316E-2</v>
      </c>
      <c r="D21">
        <v>3.612652229</v>
      </c>
      <c r="E21" cm="1">
        <f t="array" ref="E21">gett("T50",E$2,E$3,D21)</f>
        <v>8.1237052906715956E-2</v>
      </c>
    </row>
    <row r="22" spans="1:5" x14ac:dyDescent="0.25">
      <c r="A22">
        <v>4.1043126540000001</v>
      </c>
      <c r="B22" cm="1">
        <f t="array" ref="B22">gett("T50",B$2,B$3,A22)</f>
        <v>5.8311685604461705E-2</v>
      </c>
      <c r="D22">
        <v>3.960846359</v>
      </c>
      <c r="E22" cm="1">
        <f t="array" ref="E22">gett("T50",E$2,E$3,D22)</f>
        <v>8.0912176048058768E-2</v>
      </c>
    </row>
    <row r="23" spans="1:5" x14ac:dyDescent="0.25">
      <c r="A23">
        <v>4.4525383559999998</v>
      </c>
      <c r="B23" cm="1">
        <f t="array" ref="B23">gett("T50",B$2,B$3,A23)</f>
        <v>5.788956539951591E-2</v>
      </c>
      <c r="D23">
        <v>4.2555037330000003</v>
      </c>
      <c r="E23" cm="1">
        <f t="array" ref="E23">gett("T50",E$2,E$3,D23)</f>
        <v>8.0582683924288884E-2</v>
      </c>
    </row>
    <row r="24" spans="1:5" x14ac:dyDescent="0.25">
      <c r="A24">
        <v>4.843555576</v>
      </c>
      <c r="B24" cm="1">
        <f t="array" ref="B24">gett("T50",B$2,B$3,A24)</f>
        <v>5.7417624556015373E-2</v>
      </c>
      <c r="D24">
        <v>4.5500979629999998</v>
      </c>
      <c r="E24" cm="1">
        <f t="array" ref="E24">gett("T50",E$2,E$3,D24)</f>
        <v>8.025675840756949E-2</v>
      </c>
    </row>
    <row r="25" spans="1:5" x14ac:dyDescent="0.25">
      <c r="A25">
        <v>5.1703223749999996</v>
      </c>
      <c r="B25" cm="1">
        <f t="array" ref="B25">gett("T50",B$2,B$3,A25)</f>
        <v>5.7163901504934236E-2</v>
      </c>
      <c r="D25">
        <v>4.828653267</v>
      </c>
      <c r="E25" cm="1">
        <f t="array" ref="E25">gett("T50",E$2,E$3,D25)</f>
        <v>7.9996617450096674E-2</v>
      </c>
    </row>
    <row r="26" spans="1:5" x14ac:dyDescent="0.25">
      <c r="A26">
        <v>5.5131280990000002</v>
      </c>
      <c r="B26" cm="1">
        <f t="array" ref="B26">gett("T50",B$2,B$3,A26)</f>
        <v>5.7168750314316778E-2</v>
      </c>
      <c r="D26">
        <v>5.0428634319999999</v>
      </c>
      <c r="E26" cm="1">
        <f t="array" ref="E26">gett("T50",E$2,E$3,D26)</f>
        <v>7.9854900338397941E-2</v>
      </c>
    </row>
    <row r="27" spans="1:5" x14ac:dyDescent="0.25">
      <c r="A27">
        <v>5.8449999999999998</v>
      </c>
      <c r="B27" cm="1">
        <f t="array" ref="B27">gett("T50",B$2,B$3,A27)</f>
        <v>5.7563448341112523E-2</v>
      </c>
      <c r="D27">
        <v>5.3107050710000001</v>
      </c>
      <c r="E27" cm="1">
        <f t="array" ref="E27">gett("T50",E$2,E$3,D27)</f>
        <v>7.9780313472090872E-2</v>
      </c>
    </row>
    <row r="28" spans="1:5" x14ac:dyDescent="0.25">
      <c r="A28" s="29"/>
      <c r="D28">
        <v>5.6214645169999997</v>
      </c>
      <c r="E28" cm="1">
        <f t="array" ref="E28">gett("T50",E$2,E$3,D28)</f>
        <v>7.9882416427785027E-2</v>
      </c>
    </row>
    <row r="29" spans="1:5" x14ac:dyDescent="0.25">
      <c r="A29" s="29"/>
      <c r="D29">
        <v>5.9161218919999996</v>
      </c>
      <c r="E29" cm="1">
        <f t="array" ref="E29">gett("T50",E$2,E$3,D29)</f>
        <v>8.0217657241966278E-2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topLeftCell="A3" workbookViewId="0">
      <selection activeCell="G4" sqref="G4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6" t="s">
        <v>84</v>
      </c>
      <c r="B1" s="46"/>
      <c r="C1" s="46"/>
      <c r="D1" s="46"/>
      <c r="E1" s="46"/>
      <c r="F1" s="46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112</v>
      </c>
      <c r="B2">
        <v>1</v>
      </c>
      <c r="D2" t="s">
        <v>112</v>
      </c>
      <c r="E2">
        <v>1</v>
      </c>
      <c r="G2" s="47" t="s">
        <v>115</v>
      </c>
      <c r="H2" s="47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134</v>
      </c>
      <c r="H3" s="26" t="s">
        <v>96</v>
      </c>
      <c r="I3" s="26" t="s">
        <v>80</v>
      </c>
    </row>
    <row r="4" spans="1:41" x14ac:dyDescent="0.25">
      <c r="A4" s="3" t="s">
        <v>113</v>
      </c>
      <c r="B4" s="15" t="s">
        <v>82</v>
      </c>
      <c r="D4" s="3" t="s">
        <v>113</v>
      </c>
      <c r="E4" s="15" t="s">
        <v>82</v>
      </c>
      <c r="G4" s="27">
        <f>ANALISI!C52</f>
        <v>2.8284271247461903</v>
      </c>
      <c r="H4" s="27" cm="1">
        <f t="array" ref="H4">gett("T90",E$2,I$4,G4)</f>
        <v>0.48711498953969745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2.1315149001949151E-2</v>
      </c>
      <c r="D5">
        <v>0.50947794599999996</v>
      </c>
      <c r="E5" cm="1">
        <f t="array" ref="E5">gett("T90",E$2,E$3,D5)</f>
        <v>2.2288049136316997E-2</v>
      </c>
      <c r="G5" s="28">
        <f>G4</f>
        <v>2.8284271247461903</v>
      </c>
      <c r="H5" s="28" cm="1">
        <f t="array" ref="H5">gett("T90",E$2,I$5,G5)</f>
        <v>0.52593193263720761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2.415577092308686E-2</v>
      </c>
      <c r="D6">
        <v>0.545776013</v>
      </c>
      <c r="E6" cm="1">
        <f t="array" ref="E6">gett("T90",E$2,E$3,D6)</f>
        <v>2.706625972222966E-2</v>
      </c>
      <c r="G6" s="25"/>
      <c r="H6" s="25"/>
    </row>
    <row r="7" spans="1:41" x14ac:dyDescent="0.25">
      <c r="A7">
        <v>0.613994068</v>
      </c>
      <c r="B7" cm="1">
        <f t="array" ref="B7">gett("T90",B$2,B$3,A7)</f>
        <v>3.5450382297405263E-2</v>
      </c>
      <c r="D7">
        <v>0.61957190900000003</v>
      </c>
      <c r="E7" cm="1">
        <f t="array" ref="E7">gett("T90",E$2,E$3,D7)</f>
        <v>3.8750543756433296E-2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5.0736925443393852E-2</v>
      </c>
      <c r="D8">
        <v>0.68823198200000002</v>
      </c>
      <c r="E8" cm="1">
        <f t="array" ref="E8">gett("T90",E$2,E$3,D8)</f>
        <v>5.1961266170191346E-2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7.0500086657504943E-2</v>
      </c>
      <c r="D9">
        <v>0.78354992800000001</v>
      </c>
      <c r="E9" cm="1">
        <f t="array" ref="E9">gett("T90",E$2,E$3,D9)</f>
        <v>7.3630472758060408E-2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9.8815097991484413E-2</v>
      </c>
      <c r="D10">
        <v>0.88447728800000003</v>
      </c>
      <c r="E10" cm="1">
        <f t="array" ref="E10">gett("T90",E$2,E$3,D10)</f>
        <v>9.9716767830188999E-2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0.13880740675122266</v>
      </c>
      <c r="D11">
        <v>0.98543622099999995</v>
      </c>
      <c r="E11" cm="1">
        <f t="array" ref="E11">gett("T90",E$2,E$3,D11)</f>
        <v>0.12747152694522645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0.1863354916019091</v>
      </c>
      <c r="D12">
        <v>1.1558129699999999</v>
      </c>
      <c r="E12" cm="1">
        <f t="array" ref="E12">gett("T90",E$2,E$3,D12)</f>
        <v>0.1740424430019672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0.22079829197131762</v>
      </c>
      <c r="D13">
        <v>1.363719122</v>
      </c>
      <c r="E13" cm="1">
        <f t="array" ref="E13">gett("T90",E$2,E$3,D13)</f>
        <v>0.22716519168383434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0.26070978598946309</v>
      </c>
      <c r="D14">
        <v>1.582528376</v>
      </c>
      <c r="E14" cm="1">
        <f t="array" ref="E14">gett("T90",E$2,E$3,D14)</f>
        <v>0.28339852259238152</v>
      </c>
    </row>
    <row r="15" spans="1:41" x14ac:dyDescent="0.25">
      <c r="A15">
        <v>1.790529246</v>
      </c>
      <c r="B15" cm="1">
        <f t="array" ref="B15">gett("T90",B$2,B$3,A15)</f>
        <v>0.30770424479865582</v>
      </c>
      <c r="D15">
        <v>1.801495493</v>
      </c>
      <c r="E15" cm="1">
        <f t="array" ref="E15">gett("T90",E$2,E$3,D15)</f>
        <v>0.33963547536073779</v>
      </c>
    </row>
    <row r="16" spans="1:41" x14ac:dyDescent="0.25">
      <c r="A16">
        <v>2.0096226540000002</v>
      </c>
      <c r="B16" cm="1">
        <f t="array" ref="B16">gett("T90",B$2,B$3,A16)</f>
        <v>0.35180223300800623</v>
      </c>
      <c r="D16">
        <v>2.0419530859999999</v>
      </c>
      <c r="E16" cm="1">
        <f t="array" ref="E16">gett("T90",E$2,E$3,D16)</f>
        <v>0.39752208268206068</v>
      </c>
    </row>
    <row r="17" spans="1:5" x14ac:dyDescent="0.25">
      <c r="A17">
        <v>2.239556018</v>
      </c>
      <c r="B17" cm="1">
        <f t="array" ref="B17">gett("T90",B$2,B$3,A17)</f>
        <v>0.39571190594675315</v>
      </c>
      <c r="D17">
        <v>2.3361368709999999</v>
      </c>
      <c r="E17" cm="1">
        <f t="array" ref="E17">gett("T90",E$2,E$3,D17)</f>
        <v>0.45798544754597897</v>
      </c>
    </row>
    <row r="18" spans="1:5" x14ac:dyDescent="0.25">
      <c r="A18">
        <v>2.491011431</v>
      </c>
      <c r="B18" cm="1">
        <f t="array" ref="B18">gett("T90",B$2,B$3,A18)</f>
        <v>0.4391068607486705</v>
      </c>
      <c r="D18">
        <v>2.6946657940000001</v>
      </c>
      <c r="E18" cm="1">
        <f t="array" ref="E18">gett("T90",E$2,E$3,D18)</f>
        <v>0.51167270306086066</v>
      </c>
    </row>
    <row r="19" spans="1:5" x14ac:dyDescent="0.25">
      <c r="A19">
        <v>2.7104837110000002</v>
      </c>
      <c r="B19" cm="1">
        <f t="array" ref="B19">gett("T90",B$2,B$3,A19)</f>
        <v>0.47180740099318913</v>
      </c>
      <c r="D19">
        <v>2.9462790710000002</v>
      </c>
      <c r="E19" cm="1">
        <f t="array" ref="E19">gett("T90",E$2,E$3,D19)</f>
        <v>0.53612362594176088</v>
      </c>
    </row>
    <row r="20" spans="1:5" x14ac:dyDescent="0.25">
      <c r="A20">
        <v>2.9567085820000001</v>
      </c>
      <c r="B20" cm="1">
        <f t="array" ref="B20">gett("T90",B$2,B$3,A20)</f>
        <v>0.50186790201865372</v>
      </c>
      <c r="D20">
        <v>3.321099501</v>
      </c>
      <c r="E20" cm="1">
        <f t="array" ref="E20">gett("T90",E$2,E$3,D20)</f>
        <v>0.5566428857022313</v>
      </c>
    </row>
    <row r="21" spans="1:5" x14ac:dyDescent="0.25">
      <c r="A21">
        <v>3.1923145060000002</v>
      </c>
      <c r="B21" cm="1">
        <f t="array" ref="B21">gett("T90",B$2,B$3,A21)</f>
        <v>0.52373820325414289</v>
      </c>
      <c r="D21">
        <v>3.6103368979999999</v>
      </c>
      <c r="E21" cm="1">
        <f t="array" ref="E21">gett("T90",E$2,E$3,D21)</f>
        <v>0.56488219014867402</v>
      </c>
    </row>
    <row r="22" spans="1:5" x14ac:dyDescent="0.25">
      <c r="A22">
        <v>3.4333404079999998</v>
      </c>
      <c r="B22" cm="1">
        <f t="array" ref="B22">gett("T90",B$2,B$3,A22)</f>
        <v>0.5392937992438922</v>
      </c>
      <c r="D22">
        <v>3.8192533759999998</v>
      </c>
      <c r="E22" cm="1">
        <f t="array" ref="E22">gett("T90",E$2,E$3,D22)</f>
        <v>0.56977819216090375</v>
      </c>
    </row>
    <row r="23" spans="1:5" x14ac:dyDescent="0.25">
      <c r="A23">
        <v>3.6475505730000002</v>
      </c>
      <c r="B23" cm="1">
        <f t="array" ref="B23">gett("T90",B$2,B$3,A23)</f>
        <v>0.5478072452045426</v>
      </c>
      <c r="D23">
        <v>4.1567022680000001</v>
      </c>
      <c r="E23" cm="1">
        <f t="array" ref="E23">gett("T90",E$2,E$3,D23)</f>
        <v>0.57711768984103151</v>
      </c>
    </row>
    <row r="24" spans="1:5" x14ac:dyDescent="0.25">
      <c r="A24">
        <v>3.8564670510000001</v>
      </c>
      <c r="B24" cm="1">
        <f t="array" ref="B24">gett("T90",B$2,B$3,A24)</f>
        <v>0.55193330152151998</v>
      </c>
      <c r="D24">
        <v>4.4084734079999999</v>
      </c>
      <c r="E24" cm="1">
        <f t="array" ref="E24">gett("T90",E$2,E$3,D24)</f>
        <v>0.58174177844263286</v>
      </c>
    </row>
    <row r="25" spans="1:5" x14ac:dyDescent="0.25">
      <c r="A25">
        <v>4.1296339499999997</v>
      </c>
      <c r="B25" cm="1">
        <f t="array" ref="B25">gett("T90",B$2,B$3,A25)</f>
        <v>0.55234551353827832</v>
      </c>
      <c r="D25">
        <v>4.6869971389999998</v>
      </c>
      <c r="E25" cm="1">
        <f t="array" ref="E25">gett("T90",E$2,E$3,D25)</f>
        <v>0.58556822398338582</v>
      </c>
    </row>
    <row r="26" spans="1:5" x14ac:dyDescent="0.25">
      <c r="A26">
        <v>4.4295850120000004</v>
      </c>
      <c r="B26" cm="1">
        <f t="array" ref="B26">gett("T90",B$2,B$3,A26)</f>
        <v>0.5483125955821665</v>
      </c>
      <c r="D26">
        <v>4.9387367070000003</v>
      </c>
      <c r="E26" cm="1">
        <f t="array" ref="E26">gett("T90",E$2,E$3,D26)</f>
        <v>0.58749981916318905</v>
      </c>
    </row>
    <row r="27" spans="1:5" x14ac:dyDescent="0.25">
      <c r="A27">
        <v>4.7295360740000003</v>
      </c>
      <c r="B27" cm="1">
        <f t="array" ref="B27">gett("T90",B$2,B$3,A27)</f>
        <v>0.54201576557825293</v>
      </c>
      <c r="D27">
        <v>5.1422647789999996</v>
      </c>
      <c r="E27" cm="1">
        <f t="array" ref="E27">gett("T90",E$2,E$3,D27)</f>
        <v>0.58776924708089962</v>
      </c>
    </row>
    <row r="28" spans="1:5" x14ac:dyDescent="0.25">
      <c r="A28">
        <v>4.9812756419999999</v>
      </c>
      <c r="B28" cm="1">
        <f t="array" ref="B28">gett("T90",B$2,B$3,A28)</f>
        <v>0.53677802151949927</v>
      </c>
      <c r="D28">
        <v>5.4744199829999998</v>
      </c>
      <c r="E28" cm="1">
        <f t="array" ref="E28">gett("T90",E$2,E$3,D28)</f>
        <v>0.58527034637221975</v>
      </c>
    </row>
    <row r="29" spans="1:5" x14ac:dyDescent="0.25">
      <c r="A29">
        <v>5.3187561060000004</v>
      </c>
      <c r="B29" cm="1">
        <f t="array" ref="B29">gett("T90",B$2,B$3,A29)</f>
        <v>0.53239735775268771</v>
      </c>
      <c r="D29">
        <v>5.7744341910000001</v>
      </c>
      <c r="E29" cm="1">
        <f t="array" ref="E29">gett("T90",E$2,E$3,D29)</f>
        <v>0.5794087122568734</v>
      </c>
    </row>
    <row r="30" spans="1:5" x14ac:dyDescent="0.25">
      <c r="A30">
        <v>5.5759472240000001</v>
      </c>
      <c r="B30" cm="1">
        <f t="array" ref="B30">gett("T90",B$2,B$3,A30)</f>
        <v>0.53293719126834338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0.54138000643902606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6" t="s">
        <v>84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2.5</v>
      </c>
      <c r="D2" t="s">
        <v>112</v>
      </c>
      <c r="E2">
        <v>2.5</v>
      </c>
      <c r="G2" t="s">
        <v>112</v>
      </c>
      <c r="H2">
        <v>2.5</v>
      </c>
      <c r="J2" t="s">
        <v>112</v>
      </c>
      <c r="K2">
        <v>2.5</v>
      </c>
      <c r="M2" s="47" t="s">
        <v>115</v>
      </c>
      <c r="N2" s="4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15" t="s">
        <v>81</v>
      </c>
      <c r="D4" s="3" t="s">
        <v>113</v>
      </c>
      <c r="E4" s="15" t="s">
        <v>81</v>
      </c>
      <c r="F4" s="15"/>
      <c r="G4" s="3" t="s">
        <v>113</v>
      </c>
      <c r="H4" s="15" t="s">
        <v>81</v>
      </c>
      <c r="I4" s="15"/>
      <c r="J4" s="3" t="s">
        <v>113</v>
      </c>
      <c r="K4" s="15" t="s">
        <v>81</v>
      </c>
      <c r="M4" s="36">
        <f>ANALISI!C52</f>
        <v>2.8284271247461903</v>
      </c>
      <c r="N4" s="27" cm="1">
        <f t="array" ref="N4">gett("T50",E$2,O$4,M4)</f>
        <v>0.14329877055356044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37">
        <f>M4</f>
        <v>2.8284271247461903</v>
      </c>
      <c r="N5" s="28" cm="1">
        <f t="array" ref="N5">gett("T50",E$2,O$5,M5)</f>
        <v>0.22109748867241455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36">
        <f>M5</f>
        <v>2.8284271247461903</v>
      </c>
      <c r="N6" s="27" cm="1">
        <f t="array" ref="N6">gett("T50",E$2,O$6,M6)</f>
        <v>1.0010195080760327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37">
        <f>M6</f>
        <v>2.8284271247461903</v>
      </c>
      <c r="N7" s="28" cm="1">
        <f t="array" ref="N7">gett("T50",E$2,O$7,M7)</f>
        <v>1.5296888446312651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6" t="s">
        <v>84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2.5</v>
      </c>
      <c r="D2" t="s">
        <v>112</v>
      </c>
      <c r="E2">
        <v>2.5</v>
      </c>
      <c r="G2" t="s">
        <v>112</v>
      </c>
      <c r="H2">
        <v>2.5</v>
      </c>
      <c r="J2" t="s">
        <v>112</v>
      </c>
      <c r="K2">
        <v>2.5</v>
      </c>
      <c r="M2" s="47" t="s">
        <v>115</v>
      </c>
      <c r="N2" s="47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15" t="s">
        <v>81</v>
      </c>
      <c r="D4" s="3" t="s">
        <v>113</v>
      </c>
      <c r="E4" s="15" t="s">
        <v>81</v>
      </c>
      <c r="F4" s="15"/>
      <c r="G4" s="3" t="s">
        <v>113</v>
      </c>
      <c r="H4" s="15" t="s">
        <v>81</v>
      </c>
      <c r="I4" s="15"/>
      <c r="J4" s="3" t="s">
        <v>113</v>
      </c>
      <c r="K4" s="15" t="s">
        <v>81</v>
      </c>
      <c r="M4" s="27">
        <f>ANALISI!C52</f>
        <v>2.8284271247461903</v>
      </c>
      <c r="N4" s="27" cm="1">
        <f t="array" ref="N4">gett("T90",E$2,O$4,M4)</f>
        <v>2.3104516086273907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35">
        <f>M4</f>
        <v>2.8284271247461903</v>
      </c>
      <c r="N5" s="28" cm="1">
        <f t="array" ref="N5">gett("T90",E$2,O$5,M5)</f>
        <v>2.9288989432352714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2.8284271247461903</v>
      </c>
      <c r="N6" s="27" cm="1">
        <f t="array" ref="N6">gett("T90",E$2,O$6,M6)</f>
        <v>4.0830656230461484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35">
        <f>M6</f>
        <v>2.8284271247461903</v>
      </c>
      <c r="N7" s="28" cm="1">
        <f t="array" ref="N7">gett("T90",E$2,O$7,M7)</f>
        <v>4.6028108630895197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E5" sqref="E5"/>
    </sheetView>
  </sheetViews>
  <sheetFormatPr defaultColWidth="8.7109375" defaultRowHeight="15" x14ac:dyDescent="0.25"/>
  <sheetData>
    <row r="1" spans="1:6" x14ac:dyDescent="0.25">
      <c r="A1" s="46" t="s">
        <v>87</v>
      </c>
      <c r="B1" s="46"/>
      <c r="C1" s="46"/>
      <c r="D1" s="46"/>
    </row>
    <row r="3" spans="1:6" x14ac:dyDescent="0.25">
      <c r="A3" s="3" t="s">
        <v>88</v>
      </c>
      <c r="B3" s="3" t="s">
        <v>89</v>
      </c>
      <c r="E3" s="47" t="s">
        <v>115</v>
      </c>
      <c r="F3" s="47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ANALISI!C70</f>
        <v>1.4142135623730951</v>
      </c>
      <c r="F5" s="27">
        <f>IFERROR(getqadim(E5),"")</f>
        <v>1.4529920652750568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2026-07-09T15:46:45Z</cp:lastPrinted>
  <dcterms:created xsi:type="dcterms:W3CDTF">2026-06-23T09:55:55Z</dcterms:created>
  <dcterms:modified xsi:type="dcterms:W3CDTF">2026-07-13T12:39:53Z</dcterms:modified>
  <dc:language>en-US</dc:language>
</cp:coreProperties>
</file>