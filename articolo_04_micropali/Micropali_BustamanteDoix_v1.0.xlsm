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4_micropali\"/>
    </mc:Choice>
  </mc:AlternateContent>
  <xr:revisionPtr revIDLastSave="0" documentId="13_ncr:1_{66233EA7-254D-4362-80FF-D9151A87FDD6}" xr6:coauthVersionLast="47" xr6:coauthVersionMax="47" xr10:uidLastSave="{00000000-0000-0000-0000-000000000000}"/>
  <bookViews>
    <workbookView xWindow="28680" yWindow="-120" windowWidth="29040" windowHeight="15720" tabRatio="710" firstSheet="1" activeTab="3" xr2:uid="{00000000-000D-0000-FFFF-FFFF00000000}"/>
  </bookViews>
  <sheets>
    <sheet name="DB_Abachi" sheetId="1" state="hidden" r:id="rId1"/>
    <sheet name="Credits" sheetId="14" r:id="rId2"/>
    <sheet name="DATI_INPUT" sheetId="2" r:id="rId3"/>
    <sheet name="TAB_ALPHA" sheetId="16" r:id="rId4"/>
    <sheet name="CALCOLO-Qmedio" sheetId="3" r:id="rId5"/>
    <sheet name="CALCOLO-Qminimo" sheetId="4" r:id="rId6"/>
    <sheet name="NTC2018" sheetId="5" r:id="rId7"/>
    <sheet name="Grafico-SG" sheetId="10" r:id="rId8"/>
    <sheet name="Grafico-AL" sheetId="11" r:id="rId9"/>
    <sheet name="Grafico-MC" sheetId="12" r:id="rId10"/>
    <sheet name="Grafico-RA" sheetId="13" r:id="rId11"/>
    <sheet name="ABACO-SG" sheetId="6" state="hidden" r:id="rId12"/>
    <sheet name="ABACO-AL" sheetId="7" state="hidden" r:id="rId13"/>
    <sheet name="ABACO-MC" sheetId="8" state="hidden" r:id="rId14"/>
    <sheet name="ABACO-RA" sheetId="9" state="hidden" r:id="rId15"/>
  </sheets>
  <functionGroups builtInGroupCount="19"/>
  <definedNames>
    <definedName name="_xlnm.Print_Area" localSheetId="4">'CALCOLO-Qmedio'!$A$1:$H$22</definedName>
    <definedName name="_xlnm.Print_Area" localSheetId="5">'CALCOLO-Qminimo'!$A$1:$H$22</definedName>
    <definedName name="_xlnm.Print_Area" localSheetId="1">Credits!$A$1:$B$19</definedName>
    <definedName name="_xlnm.Print_Area" localSheetId="2">DATI_INPUT!$A$1:$M$22</definedName>
    <definedName name="_xlnm.Print_Area" localSheetId="6">'NTC2018'!$A$1:$G$29</definedName>
    <definedName name="_xlnm.Print_Area" localSheetId="3">TAB_ALPHA!$A$1:$D$21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N15" i="9" l="1"/>
  <c r="M15" i="9"/>
  <c r="L15" i="9"/>
  <c r="K15" i="9"/>
  <c r="J15" i="9"/>
  <c r="I15" i="9"/>
  <c r="M14" i="9"/>
  <c r="J14" i="9"/>
  <c r="I14" i="9"/>
  <c r="J13" i="9"/>
  <c r="I13" i="9"/>
  <c r="J12" i="9"/>
  <c r="I12" i="9"/>
  <c r="N11" i="9"/>
  <c r="M11" i="9"/>
  <c r="L11" i="9"/>
  <c r="K11" i="9"/>
  <c r="J11" i="9"/>
  <c r="I11" i="9"/>
  <c r="N10" i="9"/>
  <c r="M10" i="9"/>
  <c r="L10" i="9"/>
  <c r="K10" i="9"/>
  <c r="J10" i="9"/>
  <c r="I10" i="9"/>
  <c r="N9" i="9"/>
  <c r="M9" i="9"/>
  <c r="L9" i="9"/>
  <c r="K9" i="9"/>
  <c r="J9" i="9"/>
  <c r="I9" i="9"/>
  <c r="N8" i="9"/>
  <c r="M8" i="9"/>
  <c r="L8" i="9"/>
  <c r="K8" i="9"/>
  <c r="J8" i="9"/>
  <c r="I8" i="9"/>
  <c r="N7" i="9"/>
  <c r="M7" i="9"/>
  <c r="L7" i="9"/>
  <c r="K7" i="9"/>
  <c r="J7" i="9"/>
  <c r="I7" i="9"/>
  <c r="N6" i="9"/>
  <c r="M6" i="9"/>
  <c r="L6" i="9"/>
  <c r="K6" i="9"/>
  <c r="J6" i="9"/>
  <c r="I6" i="9"/>
  <c r="N15" i="8"/>
  <c r="M15" i="8"/>
  <c r="L15" i="8"/>
  <c r="K15" i="8"/>
  <c r="J15" i="8"/>
  <c r="I15" i="8"/>
  <c r="N14" i="8"/>
  <c r="M14" i="8"/>
  <c r="L14" i="8"/>
  <c r="K14" i="8"/>
  <c r="J14" i="8"/>
  <c r="I14" i="8"/>
  <c r="K13" i="8"/>
  <c r="J13" i="8"/>
  <c r="I13" i="8"/>
  <c r="M12" i="8"/>
  <c r="K12" i="8"/>
  <c r="J12" i="8"/>
  <c r="I12" i="8"/>
  <c r="J11" i="8"/>
  <c r="I11" i="8"/>
  <c r="J10" i="8"/>
  <c r="I10" i="8"/>
  <c r="N9" i="8"/>
  <c r="M9" i="8"/>
  <c r="L9" i="8"/>
  <c r="K9" i="8"/>
  <c r="J9" i="8"/>
  <c r="I9" i="8"/>
  <c r="N8" i="8"/>
  <c r="M8" i="8"/>
  <c r="L8" i="8"/>
  <c r="K8" i="8"/>
  <c r="J8" i="8"/>
  <c r="I8" i="8"/>
  <c r="N7" i="8"/>
  <c r="M7" i="8"/>
  <c r="L7" i="8"/>
  <c r="K7" i="8"/>
  <c r="J7" i="8"/>
  <c r="I7" i="8"/>
  <c r="N6" i="8"/>
  <c r="M6" i="8"/>
  <c r="L6" i="8"/>
  <c r="K6" i="8"/>
  <c r="J6" i="8"/>
  <c r="I6" i="8"/>
  <c r="N15" i="7"/>
  <c r="M15" i="7"/>
  <c r="L15" i="7"/>
  <c r="K15" i="7"/>
  <c r="J15" i="7"/>
  <c r="I15" i="7"/>
  <c r="N14" i="7"/>
  <c r="M14" i="7"/>
  <c r="L14" i="7"/>
  <c r="K14" i="7"/>
  <c r="J14" i="7"/>
  <c r="I14" i="7"/>
  <c r="N13" i="7"/>
  <c r="M13" i="7"/>
  <c r="L13" i="7"/>
  <c r="K13" i="7"/>
  <c r="J13" i="7"/>
  <c r="I13" i="7"/>
  <c r="N12" i="7"/>
  <c r="M12" i="7"/>
  <c r="L12" i="7"/>
  <c r="K12" i="7"/>
  <c r="J12" i="7"/>
  <c r="I12" i="7"/>
  <c r="N11" i="7"/>
  <c r="M11" i="7"/>
  <c r="L11" i="7"/>
  <c r="K11" i="7"/>
  <c r="J11" i="7"/>
  <c r="I11" i="7"/>
  <c r="J10" i="7"/>
  <c r="I10" i="7"/>
  <c r="M9" i="7"/>
  <c r="J9" i="7"/>
  <c r="I9" i="7"/>
  <c r="N8" i="7"/>
  <c r="M8" i="7"/>
  <c r="L8" i="7"/>
  <c r="K8" i="7"/>
  <c r="J8" i="7"/>
  <c r="I8" i="7"/>
  <c r="J7" i="7"/>
  <c r="I7" i="7"/>
  <c r="J6" i="7"/>
  <c r="I6" i="7"/>
  <c r="K15" i="6"/>
  <c r="J15" i="6"/>
  <c r="I15" i="6"/>
  <c r="M14" i="6"/>
  <c r="J14" i="6"/>
  <c r="I14" i="6"/>
  <c r="J13" i="6"/>
  <c r="I13" i="6"/>
  <c r="M12" i="6"/>
  <c r="J12" i="6"/>
  <c r="I12" i="6"/>
  <c r="J11" i="6"/>
  <c r="I11" i="6"/>
  <c r="J10" i="6"/>
  <c r="I10" i="6"/>
  <c r="J9" i="6"/>
  <c r="I9" i="6"/>
  <c r="J8" i="6"/>
  <c r="I8" i="6"/>
  <c r="J7" i="6"/>
  <c r="I7" i="6"/>
  <c r="K6" i="6"/>
  <c r="J6" i="6"/>
  <c r="I6" i="6"/>
  <c r="C24" i="5"/>
  <c r="C23" i="5"/>
  <c r="C20" i="5"/>
  <c r="F19" i="4"/>
  <c r="M15" i="6" s="1"/>
  <c r="E19" i="4"/>
  <c r="D19" i="4"/>
  <c r="C19" i="4"/>
  <c r="B19" i="4"/>
  <c r="F18" i="4"/>
  <c r="D18" i="4"/>
  <c r="E18" i="4" s="1"/>
  <c r="C18" i="4"/>
  <c r="B18" i="4"/>
  <c r="F17" i="4"/>
  <c r="M13" i="6" s="1"/>
  <c r="D17" i="4"/>
  <c r="E17" i="4" s="1"/>
  <c r="C17" i="4"/>
  <c r="B17" i="4"/>
  <c r="F16" i="4"/>
  <c r="M12" i="9" s="1"/>
  <c r="D16" i="4"/>
  <c r="E16" i="4" s="1"/>
  <c r="C16" i="4"/>
  <c r="B16" i="4"/>
  <c r="D15" i="4"/>
  <c r="E15" i="4" s="1"/>
  <c r="C15" i="4"/>
  <c r="B15" i="4"/>
  <c r="F14" i="4"/>
  <c r="M10" i="6" s="1"/>
  <c r="E14" i="4"/>
  <c r="D14" i="4"/>
  <c r="C14" i="4"/>
  <c r="B14" i="4"/>
  <c r="D13" i="4"/>
  <c r="E13" i="4" s="1"/>
  <c r="C13" i="4"/>
  <c r="B13" i="4"/>
  <c r="F12" i="4"/>
  <c r="M8" i="6" s="1"/>
  <c r="D12" i="4"/>
  <c r="E12" i="4" s="1"/>
  <c r="C12" i="4"/>
  <c r="B12" i="4"/>
  <c r="F11" i="4"/>
  <c r="M7" i="6" s="1"/>
  <c r="E11" i="4"/>
  <c r="D11" i="4"/>
  <c r="C11" i="4"/>
  <c r="B11" i="4"/>
  <c r="D10" i="4"/>
  <c r="E10" i="4" s="1"/>
  <c r="C10" i="4"/>
  <c r="B10" i="4"/>
  <c r="D6" i="4"/>
  <c r="D5" i="4"/>
  <c r="F19" i="3"/>
  <c r="E19" i="3"/>
  <c r="D19" i="3"/>
  <c r="C19" i="3"/>
  <c r="B19" i="3"/>
  <c r="F18" i="3"/>
  <c r="K14" i="6" s="1"/>
  <c r="D18" i="3"/>
  <c r="E18" i="3" s="1"/>
  <c r="C18" i="3"/>
  <c r="B18" i="3"/>
  <c r="F17" i="3"/>
  <c r="K13" i="6" s="1"/>
  <c r="D17" i="3"/>
  <c r="E17" i="3" s="1"/>
  <c r="C17" i="3"/>
  <c r="B17" i="3"/>
  <c r="F16" i="3"/>
  <c r="K12" i="6" s="1"/>
  <c r="E16" i="3"/>
  <c r="D16" i="3"/>
  <c r="C16" i="3"/>
  <c r="B16" i="3"/>
  <c r="D15" i="3"/>
  <c r="E15" i="3" s="1"/>
  <c r="C15" i="3"/>
  <c r="B15" i="3"/>
  <c r="F14" i="3"/>
  <c r="K10" i="6" s="1"/>
  <c r="D14" i="3"/>
  <c r="E14" i="3" s="1"/>
  <c r="C14" i="3"/>
  <c r="B14" i="3"/>
  <c r="E13" i="3"/>
  <c r="D13" i="3"/>
  <c r="C13" i="3"/>
  <c r="B13" i="3"/>
  <c r="F12" i="3"/>
  <c r="K8" i="6" s="1"/>
  <c r="E12" i="3"/>
  <c r="D12" i="3"/>
  <c r="C12" i="3"/>
  <c r="B12" i="3"/>
  <c r="F11" i="3"/>
  <c r="K7" i="6" s="1"/>
  <c r="D11" i="3"/>
  <c r="E11" i="3" s="1"/>
  <c r="C11" i="3"/>
  <c r="B11" i="3"/>
  <c r="D10" i="3"/>
  <c r="E10" i="3" s="1"/>
  <c r="C10" i="3"/>
  <c r="B10" i="3"/>
  <c r="D6" i="3"/>
  <c r="D5" i="3"/>
  <c r="J20" i="2"/>
  <c r="J19" i="2"/>
  <c r="J18" i="2"/>
  <c r="J17" i="2"/>
  <c r="J16" i="2"/>
  <c r="J15" i="2"/>
  <c r="J14" i="2"/>
  <c r="J13" i="2"/>
  <c r="K22" i="2" a="1"/>
  <c r="K21" i="2" a="1"/>
  <c r="K20" i="2" a="1"/>
  <c r="K19" i="2" a="1"/>
  <c r="K18" i="2" a="1"/>
  <c r="K17" i="2" a="1"/>
  <c r="K16" i="2" a="1"/>
  <c r="K15" i="2" a="1"/>
  <c r="K14" i="2" a="1"/>
  <c r="K13" i="2" a="1"/>
  <c r="J21" i="2"/>
  <c r="F15" i="4"/>
  <c r="J22" i="2"/>
  <c r="F10" i="4"/>
  <c r="F10" i="3"/>
  <c r="F13" i="4"/>
  <c r="F15" i="3"/>
  <c r="F13" i="3"/>
  <c r="K22" i="2" l="1"/>
  <c r="K21" i="2"/>
  <c r="K20" i="2"/>
  <c r="K19" i="2"/>
  <c r="K18" i="2"/>
  <c r="K17" i="2"/>
  <c r="K16" i="2"/>
  <c r="K15" i="2"/>
  <c r="K14" i="2"/>
  <c r="K13" i="2"/>
  <c r="K9" i="7"/>
  <c r="K11" i="6"/>
  <c r="M9" i="6"/>
  <c r="K6" i="7"/>
  <c r="M6" i="6"/>
  <c r="M11" i="6"/>
  <c r="G19" i="3"/>
  <c r="L15" i="6" s="1"/>
  <c r="K14" i="9"/>
  <c r="M13" i="9"/>
  <c r="K13" i="9"/>
  <c r="M7" i="7"/>
  <c r="G18" i="4"/>
  <c r="K12" i="9"/>
  <c r="M13" i="8"/>
  <c r="K11" i="8"/>
  <c r="M11" i="8"/>
  <c r="K10" i="8"/>
  <c r="M10" i="8"/>
  <c r="K9" i="6"/>
  <c r="N9" i="7"/>
  <c r="K10" i="7"/>
  <c r="M10" i="7"/>
  <c r="K7" i="7"/>
  <c r="M6" i="7"/>
  <c r="G18" i="3"/>
  <c r="N14" i="6"/>
  <c r="G19" i="4"/>
  <c r="N15" i="6" s="1"/>
  <c r="N13" i="6"/>
  <c r="G12" i="3"/>
  <c r="G10" i="4"/>
  <c r="G14" i="3"/>
  <c r="G11" i="3"/>
  <c r="G15" i="4"/>
  <c r="G16" i="4"/>
  <c r="G14" i="4"/>
  <c r="G15" i="3"/>
  <c r="G17" i="4"/>
  <c r="G17" i="3"/>
  <c r="G10" i="3"/>
  <c r="G11" i="4"/>
  <c r="G16" i="3"/>
  <c r="G12" i="4"/>
  <c r="G13" i="3"/>
  <c r="G13" i="4"/>
  <c r="H19" i="3" l="1"/>
  <c r="L14" i="6"/>
  <c r="L14" i="9"/>
  <c r="H18" i="4"/>
  <c r="N14" i="9"/>
  <c r="H13" i="4"/>
  <c r="N9" i="6"/>
  <c r="L13" i="9"/>
  <c r="N13" i="9"/>
  <c r="L12" i="9"/>
  <c r="N12" i="9"/>
  <c r="L13" i="6"/>
  <c r="L13" i="8"/>
  <c r="H17" i="3"/>
  <c r="L12" i="8"/>
  <c r="N12" i="6"/>
  <c r="N12" i="8"/>
  <c r="H17" i="4"/>
  <c r="N13" i="8"/>
  <c r="L11" i="8"/>
  <c r="N11" i="8"/>
  <c r="L10" i="8"/>
  <c r="N10" i="8"/>
  <c r="N11" i="6"/>
  <c r="L10" i="6"/>
  <c r="L10" i="7"/>
  <c r="L9" i="6"/>
  <c r="L9" i="7"/>
  <c r="N10" i="7"/>
  <c r="H18" i="3"/>
  <c r="N7" i="7"/>
  <c r="L7" i="7"/>
  <c r="N6" i="7"/>
  <c r="L6" i="7"/>
  <c r="L7" i="6"/>
  <c r="L6" i="6"/>
  <c r="N8" i="6"/>
  <c r="N10" i="6"/>
  <c r="H14" i="4"/>
  <c r="N6" i="6"/>
  <c r="H10" i="4"/>
  <c r="L11" i="6"/>
  <c r="H15" i="3"/>
  <c r="H14" i="3"/>
  <c r="L8" i="6"/>
  <c r="H12" i="3"/>
  <c r="H16" i="4"/>
  <c r="H15" i="4"/>
  <c r="H10" i="3"/>
  <c r="H19" i="4"/>
  <c r="H13" i="3"/>
  <c r="L12" i="6"/>
  <c r="H16" i="3"/>
  <c r="H12" i="4"/>
  <c r="N7" i="6"/>
  <c r="H11" i="4"/>
  <c r="H11" i="3"/>
  <c r="H20" i="3" l="1"/>
  <c r="H20" i="4"/>
  <c r="C22" i="5" l="1"/>
  <c r="C26" i="5" s="1"/>
  <c r="H21" i="4"/>
  <c r="H22" i="4" s="1"/>
  <c r="H21" i="3"/>
  <c r="H22" i="3" s="1"/>
  <c r="C21" i="5"/>
  <c r="C25" i="5" s="1"/>
  <c r="C27" i="5" l="1"/>
  <c r="C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<sst xmlns="http://schemas.openxmlformats.org/spreadsheetml/2006/main" count="385" uniqueCount="165">
  <si>
    <t>Abaco</t>
  </si>
  <si>
    <t>Curva</t>
  </si>
  <si>
    <t>pl_MPa</t>
  </si>
  <si>
    <t>qs_MPa</t>
  </si>
  <si>
    <t>SG</t>
  </si>
  <si>
    <t>IRS</t>
  </si>
  <si>
    <t>IGU</t>
  </si>
  <si>
    <t>AL</t>
  </si>
  <si>
    <t>MC</t>
  </si>
  <si>
    <t>RA</t>
  </si>
  <si>
    <t>Fonte: Bustamante M., Doix B. (1985). Bulletin de Liaison des LPC.</t>
  </si>
  <si>
    <t>MICROPALI INIETTATI  –  Metodo Bustamante–Doix  |  DATI DI INPUT</t>
  </si>
  <si>
    <t>A  |  DATI GENERALI</t>
  </si>
  <si>
    <t>Progetto / Descrizione</t>
  </si>
  <si>
    <t>Diametro perforazione  Dd  (m)</t>
  </si>
  <si>
    <t>valore tipico 0.10÷0.25 m</t>
  </si>
  <si>
    <t>Tipo di iniezione</t>
  </si>
  <si>
    <t>IRS  oppure  IGU</t>
  </si>
  <si>
    <t>Numero di strati</t>
  </si>
  <si>
    <t>max 10</t>
  </si>
  <si>
    <t>N. verticali di indagine  n</t>
  </si>
  <si>
    <t>usato per ξ in NTC 2018</t>
  </si>
  <si>
    <t>B  |  DATI PER STRATO</t>
  </si>
  <si>
    <t>Strato</t>
  </si>
  <si>
    <t>Descrizione</t>
  </si>
  <si>
    <t>ls,i
(m)</t>
  </si>
  <si>
    <t>Tipo
terreno</t>
  </si>
  <si>
    <t>pl,medio
(MPa)</t>
  </si>
  <si>
    <t>pl,minimo
(MPa)</t>
  </si>
  <si>
    <t>NSPT
medio</t>
  </si>
  <si>
    <t>NSPT
minimo</t>
  </si>
  <si>
    <t>Usa
NSPT?</t>
  </si>
  <si>
    <t>α*
(suggerito)</t>
  </si>
  <si>
    <t>α
usato</t>
  </si>
  <si>
    <t>Note</t>
  </si>
  <si>
    <t>No</t>
  </si>
  <si>
    <t>CALCOLO RESISTENZA LATERALE  –  Valori MEDI di p_l</t>
  </si>
  <si>
    <t>q_s calcolato da GetQs(tipoTerreno, curva, pl). Se Usa NSPT=Si, p_l convertita da GetPl_fromNSPT() (non disponibile per RA). Se pl e fuori dal range di validita dell abaco, il calcolo viene invalidato.</t>
  </si>
  <si>
    <t>Parametri</t>
  </si>
  <si>
    <t>Dd (m)</t>
  </si>
  <si>
    <t>Tipo iniezione</t>
  </si>
  <si>
    <t>Aliquota Qp</t>
  </si>
  <si>
    <t>← modificare se necessario (default 0.15)</t>
  </si>
  <si>
    <t>α
[-]</t>
  </si>
  <si>
    <t>Ds,i
(m)</t>
  </si>
  <si>
    <t>pl,i
(MPa)</t>
  </si>
  <si>
    <t>qs,i
(MPa)</t>
  </si>
  <si>
    <t>Qs,i
(kN)</t>
  </si>
  <si>
    <t>Qs,cal  Valori  =  Σ Qs,i   (kN)</t>
  </si>
  <si>
    <t>Qp = aliquota · Qs,cal   (contributo di punta, kN)</t>
  </si>
  <si>
    <t>QL = Qs,cal + Qp   (kN)</t>
  </si>
  <si>
    <t>CALCOLO RESISTENZA LATERALE  –  Valori MINIMI di p_l</t>
  </si>
  <si>
    <t>VERIFICA NTC 2018  –  Da resistenza calcolata a resistenza di progetto</t>
  </si>
  <si>
    <t>Qs,cal,medio→Qs,med,k=Qs,cal,medio/ξ3  |  Qs,cal,minimo→Qs,min,k=Qs,cal,minimo/ξ4  |  Qs,k=min(Qs,med,k;Qs,min,k)  →  Qs,d=Qs,k/γR</t>
  </si>
  <si>
    <t>Tabella ξ  –  NTC 2018, Tab. 6.4.II</t>
  </si>
  <si>
    <t>n vert.</t>
  </si>
  <si>
    <t>ξ1</t>
  </si>
  <si>
    <t>ξ2</t>
  </si>
  <si>
    <t>ξ3</t>
  </si>
  <si>
    <t>ξ4</t>
  </si>
  <si>
    <t>1 verticale</t>
  </si>
  <si>
    <t>≥10 verticali</t>
  </si>
  <si>
    <t>γR  –  NTC 2018, Tab. 6.4.V  (micropali iniettati)</t>
  </si>
  <si>
    <t>Tipo</t>
  </si>
  <si>
    <t>γR</t>
  </si>
  <si>
    <t>Rs (laterale)</t>
  </si>
  <si>
    <t>adottato</t>
  </si>
  <si>
    <t>Rb (punta)</t>
  </si>
  <si>
    <t>Rt (totale)</t>
  </si>
  <si>
    <t>CALCOLO</t>
  </si>
  <si>
    <t>n verticali</t>
  </si>
  <si>
    <t>Qs,cal,medio  (kN)</t>
  </si>
  <si>
    <t>Qs,cal,minimo  (kN)</t>
  </si>
  <si>
    <t>ξ3  (medio)</t>
  </si>
  <si>
    <t>ξ4  (minimo)</t>
  </si>
  <si>
    <t>Qs,med,k = Qs,cal,medio / ξ3  (kN)</t>
  </si>
  <si>
    <t>Qs,min,k = Qs,cal,minimo / ξ4  (kN)</t>
  </si>
  <si>
    <t>Qs,k = min(Qs,med,k ; Qs,min,k)  (kN)</t>
  </si>
  <si>
    <t>γR  (laterale)</t>
  </si>
  <si>
    <t>Qs,d = Qs,k / γR  (kN)</t>
  </si>
  <si>
    <t>Abaco SG – Sabbie e Ghiaie  (Bustamante–Doix, 1985)</t>
  </si>
  <si>
    <t>SG.1(IRS): qs=0.1139·pl+0.0491  |  SG.2(IGU): qs=0.1137·pl+-0.0044  [MPa]  |  range: 0.25–7.0 MPa</t>
  </si>
  <si>
    <t>SG.1–IRS</t>
  </si>
  <si>
    <t>SG.2–IGU</t>
  </si>
  <si>
    <t>Dati IRS</t>
  </si>
  <si>
    <t>Dati IGU</t>
  </si>
  <si>
    <t>── Valori utilizzati nel calcolo (debug) ──</t>
  </si>
  <si>
    <t>pl (MPa)</t>
  </si>
  <si>
    <t>qs (MPa)</t>
  </si>
  <si>
    <t>qs,medio
(MPa)</t>
  </si>
  <si>
    <t>qs,minimo
(MPa)</t>
  </si>
  <si>
    <t>Abaco AL – Argille e Limi  (Bustamante–Doix, 1985)</t>
  </si>
  <si>
    <t>AL.1(IRS): qs=0.1754·pl^0.6103  |  AL.2(IGU): qs=0.0994·pl^0.6175  [MPa]  |  range: 0.25–2.5 MPa</t>
  </si>
  <si>
    <t>AL.1–IRS</t>
  </si>
  <si>
    <t>AL.2–IGU</t>
  </si>
  <si>
    <t>Abaco MC – Marne e Calcari  (Bustamante–Doix, 1985)</t>
  </si>
  <si>
    <t>MC.1(IRS): qs=0.0709·pl+0.1207  |  MC.2(IGU): qs=0.0506·pl+0.0969  [MPa]  |  range: 1.0–8.0 MPa</t>
  </si>
  <si>
    <t>MC.1–IRS</t>
  </si>
  <si>
    <t>MC.2–IGU</t>
  </si>
  <si>
    <t>Abaco RA – Rocce Alterate  (Bustamante–Doix, 1985)</t>
  </si>
  <si>
    <t>R.1(IRS):  qs=0.1288·pl+0.0325  |  R.2(IGU):  qs=0.1042·pl+0.0300  [MPa]  |  range: 1.4–8.2 MPa</t>
  </si>
  <si>
    <t>R.1–IRS</t>
  </si>
  <si>
    <t>R.2–IGU</t>
  </si>
  <si>
    <t>MICROPALI INIETTATI  –  Metodo Bustamante–Doix  |  Strumento di calcolo</t>
  </si>
  <si>
    <t>Versione 1.0  –  Maggio 2025</t>
  </si>
  <si>
    <t>AUTORE E RIFERIMENTO</t>
  </si>
  <si>
    <t>Autore</t>
  </si>
  <si>
    <t>Francisco José Mendez  –  Ingegnere Civile, PhD</t>
  </si>
  <si>
    <t>Sito web</t>
  </si>
  <si>
    <t>www.franciscojmendez.com</t>
  </si>
  <si>
    <t>Articolo</t>
  </si>
  <si>
    <t>Repository</t>
  </si>
  <si>
    <t>FONTE SCIENTIFICA</t>
  </si>
  <si>
    <t>Riferimento</t>
  </si>
  <si>
    <t>Bustamante M., Doix B. (1985). "Une méthode pour le calcul des tirants et des micropieux injectés." Bulletin de Liaison des Laboratoires des Ponts et Chaussées, Paris.</t>
  </si>
  <si>
    <t>LICENZA</t>
  </si>
  <si>
    <t>Licenza</t>
  </si>
  <si>
    <t>GNU General Public License v3.0 – Uso libero per scopi didattici e professionali. In caso di modifica o redistribuzione mantenere i riferimenti agli autori e alla fonte scientifica originale.</t>
  </si>
  <si>
    <t>SEGNALAZIONI E FEEDBACK</t>
  </si>
  <si>
    <t>Come contribuire</t>
  </si>
  <si>
    <t>Per segnalare errori o suggerire miglioramenti: lascia un commento sull'articolo oppure apri una issue sul repository GitHub. Il tuo contributo è benvenuto.</t>
  </si>
  <si>
    <t>⚠  Questo strumento è fornito a scopo didattico e di supporto alla progettazione. La responsabilità della verifica e della validazione dei risultati rimane in capo al professionista.</t>
  </si>
  <si>
    <t>Sì</t>
  </si>
  <si>
    <t>Tabella 1 – Valori del coefficiente di sbulbatura α e delle quantità minime di malta Vi proposti da Bustamante–Doix (1985)</t>
  </si>
  <si>
    <t>Terreno</t>
  </si>
  <si>
    <t>Coefficiente α</t>
  </si>
  <si>
    <t>Ghiaia</t>
  </si>
  <si>
    <t>1.8</t>
  </si>
  <si>
    <t>da 1.3 a 1.4</t>
  </si>
  <si>
    <t>1.5 Vs</t>
  </si>
  <si>
    <t>Ghiaia sabbiosa</t>
  </si>
  <si>
    <t>da 1.6 a 1.8</t>
  </si>
  <si>
    <t>Sabbia ghiaiosa</t>
  </si>
  <si>
    <t>da 1.5 a 1.6</t>
  </si>
  <si>
    <t>da 1.2 a 1.3</t>
  </si>
  <si>
    <t>Sabbia grossolana</t>
  </si>
  <si>
    <t>da 1.4 a 1.5</t>
  </si>
  <si>
    <t>da 1.1 a 1.2</t>
  </si>
  <si>
    <t>Sabbia media</t>
  </si>
  <si>
    <t>Sabbia fine</t>
  </si>
  <si>
    <t>Sabbia limosa</t>
  </si>
  <si>
    <t>(1.5 ÷ 2) Vs per IRS
1.5 Vs per IGU</t>
  </si>
  <si>
    <t>Limo</t>
  </si>
  <si>
    <t>da 1.4 a 1.6</t>
  </si>
  <si>
    <t>2 Vs per IRS
1.5 Vs per IGU</t>
  </si>
  <si>
    <t>Argilla</t>
  </si>
  <si>
    <t>da 1.8 a 2</t>
  </si>
  <si>
    <t>1.2</t>
  </si>
  <si>
    <t>(2.5 ÷ 3) Vs per IRS
(1.5 ÷ 2) Vs per IGU</t>
  </si>
  <si>
    <t>Marna</t>
  </si>
  <si>
    <t>(1.5 ÷ 2) Vs per strato compatto
(2 ÷ 6) Vs o più, se strato fratturato</t>
  </si>
  <si>
    <t>Marno-calcare</t>
  </si>
  <si>
    <t>Creta alterata o frammentata</t>
  </si>
  <si>
    <t>Roccia alterata o frammentata</t>
  </si>
  <si>
    <t>1.1</t>
  </si>
  <si>
    <t>(1.1 ÷ 1.5) Vs se strato finemente fessurato
2 o più, se strato fratturato</t>
  </si>
  <si>
    <t>Vs = volume teorico del fusto del micropalo  |  IRS = iniezione ripetuta e selettiva  |  IGU = iniezione globale unica</t>
  </si>
  <si>
    <t>Fonte: Bustamante M. &amp; Doix B. (1985) – Une méthode pour le calcul des tirants et des micropieux injectés.</t>
  </si>
  <si>
    <t>https://www.franciscojmendez.com/il-metodo-bustamante-doix-per-il-calcolo-dei-micropali/</t>
  </si>
  <si>
    <t>https://github.com/FraJoMen/franciscojmendez_Risorse/tree/main/articolo_04_micropali</t>
  </si>
  <si>
    <t>Vi/Vperf
(–)</t>
  </si>
  <si>
    <t>Quantità minima di malta consigliata 
Vi = k Vs</t>
  </si>
  <si>
    <t>Tipo terreno: SG=Sabbie/Ghiaie, AL=Argille/Limi, MC=Marne/Calcari, RA=Rocce Alterate.
α* = valore medio per categoria suggerito da Bustamante–Doix (vedi TAB_ALPHA per dettaglio). 
α usato = dvalore effettivamente usato nel calcolo, definito dall'utente.
Vi/Vperf = rapporto fra volume minimo di iniezione e volume di perforazione (vedi TAB_ALPHA per dettaglio). Vi = (Vi/Vperf) · π·Dd²/4·ls,i
Usa NSPT?=Sì → GetPl_fromNSPT() (non disponibile per RA: inserire pl diretto). Se pl=0 o vuoto → Qs,i=0. Lasciare vuote le righe non utilizzate.</t>
  </si>
  <si>
    <t xml:space="preserve">Le colonne J (α*) e K (Vi/Vperf) della scheda DATI_INPUT sono calcolate automaticamente tramite le funzioni GetAlpha e GetKvi, che restituiscono i valori medi per categoria di terreno (SG, AL, MC, RA). Per una valutazione più accurata, si raccomanda di consultare questa scheda e di sostituire i valori suggeriti con quelli ritenuti più rappresentativi del sito e della tecnologia esecutiva adottata.
</t>
  </si>
  <si>
    <t>Il coefficiente α effettivamente usato nel calcolo della capacità portante è quello definito dall'utente nella colonna L (α usato) di DATI_INPUT.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</si>
</sst>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1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mbria"/>
      <family val="1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404040"/>
      <name val="Arial"/>
      <family val="2"/>
    </font>
    <font>
      <sz val="10"/>
      <name val="Arial"/>
      <family val="2"/>
    </font>
    <font>
      <i/>
      <sz val="9"/>
      <color rgb="FF7F7F7F"/>
      <name val="Arial"/>
      <family val="2"/>
    </font>
    <font>
      <i/>
      <sz val="9"/>
      <color rgb="FF595959"/>
      <name val="Arial"/>
      <family val="2"/>
    </font>
    <font>
      <sz val="10"/>
      <color rgb="FF000000"/>
      <name val="Arial"/>
      <family val="2"/>
    </font>
    <font>
      <b/>
      <sz val="10"/>
      <color rgb="FF1E6B3C"/>
      <name val="Arial"/>
      <family val="2"/>
    </font>
    <font>
      <b/>
      <sz val="11"/>
      <color rgb="FFFFFFFF"/>
      <name val="Arial"/>
      <family val="2"/>
    </font>
    <font>
      <b/>
      <sz val="11"/>
      <color rgb="FF1F4E79"/>
      <name val="Arial"/>
      <family val="2"/>
    </font>
    <font>
      <b/>
      <sz val="10"/>
      <color rgb="FF1F4E79"/>
      <name val="Arial"/>
      <family val="2"/>
    </font>
    <font>
      <b/>
      <sz val="9"/>
      <color rgb="FF1F4E79"/>
      <name val="Arial"/>
      <family val="2"/>
    </font>
    <font>
      <b/>
      <sz val="9"/>
      <color rgb="FFC65911"/>
      <name val="Arial"/>
      <family val="2"/>
    </font>
    <font>
      <b/>
      <sz val="8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3"/>
      <color rgb="FFFFFFFF"/>
      <name val="Arial Narrow"/>
      <family val="2"/>
    </font>
    <font>
      <sz val="11"/>
      <color theme="1"/>
      <name val="Arial Narrow"/>
      <family val="2"/>
    </font>
    <font>
      <i/>
      <sz val="9"/>
      <color rgb="FFFFFFFF"/>
      <name val="Arial Narrow"/>
      <family val="2"/>
    </font>
    <font>
      <b/>
      <sz val="10"/>
      <color rgb="FFFFFFFF"/>
      <name val="Arial Narrow"/>
      <family val="2"/>
    </font>
    <font>
      <b/>
      <sz val="10"/>
      <color rgb="FF404040"/>
      <name val="Arial Narrow"/>
      <family val="2"/>
    </font>
    <font>
      <sz val="10"/>
      <color rgb="FF404040"/>
      <name val="Arial Narrow"/>
      <family val="2"/>
    </font>
    <font>
      <i/>
      <sz val="9"/>
      <color rgb="FF7F7F7F"/>
      <name val="Arial Narrow"/>
      <family val="2"/>
    </font>
    <font>
      <i/>
      <sz val="9"/>
      <color rgb="FFC00000"/>
      <name val="Arial Narrow"/>
      <family val="2"/>
    </font>
    <font>
      <u/>
      <sz val="11"/>
      <color theme="10"/>
      <name val="Calibri"/>
      <family val="2"/>
      <charset val="1"/>
    </font>
    <font>
      <u/>
      <sz val="10"/>
      <color theme="10"/>
      <name val="Calibri"/>
      <family val="2"/>
      <charset val="1"/>
    </font>
    <font>
      <b/>
      <i/>
      <sz val="9"/>
      <color rgb="FF59595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1E6B3C"/>
        <bgColor rgb="FF1F4E79"/>
      </patternFill>
    </fill>
    <fill>
      <patternFill patternType="solid">
        <fgColor rgb="FFF2F2F2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D6E4F0"/>
        <bgColor rgb="FFD9D9D9"/>
      </patternFill>
    </fill>
    <fill>
      <patternFill patternType="solid">
        <fgColor rgb="FFFFFFFF"/>
        <bgColor rgb="FFF2F2F2"/>
      </patternFill>
    </fill>
    <fill>
      <patternFill patternType="solid">
        <fgColor rgb="FFE2EFDA"/>
        <bgColor rgb="FFF2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rgb="FF1F4E79"/>
        <bgColor rgb="FF1F4E79"/>
      </patternFill>
    </fill>
    <fill>
      <patternFill patternType="solid">
        <fgColor rgb="FF1E6B3C"/>
        <bgColor rgb="FF1E6B3C"/>
      </patternFill>
    </fill>
    <fill>
      <patternFill patternType="solid">
        <fgColor rgb="FFF2F2F2"/>
        <bgColor rgb="FFF2F2F2"/>
      </patternFill>
    </fill>
    <fill>
      <patternFill patternType="solid">
        <fgColor rgb="FFFFF2F2"/>
        <bgColor rgb="FFFFF2F2"/>
      </patternFill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DEEAF1"/>
      </patternFill>
    </fill>
    <fill>
      <patternFill patternType="solid">
        <fgColor rgb="FFFFFFFF"/>
      </patternFill>
    </fill>
  </fills>
  <borders count="10">
    <border>
      <left/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FBFBF"/>
      </left>
      <right/>
      <top/>
      <bottom/>
      <diagonal/>
    </border>
    <border>
      <left style="thin">
        <color rgb="FFB8CCE4"/>
      </left>
      <right style="thin">
        <color rgb="FFB8CCE4"/>
      </right>
      <top style="thin">
        <color rgb="FFB8CCE4"/>
      </top>
      <bottom/>
      <diagonal/>
    </border>
    <border>
      <left style="thin">
        <color rgb="FFB8CCE4"/>
      </left>
      <right style="thin">
        <color rgb="FFB8CCE4"/>
      </right>
      <top/>
      <bottom/>
      <diagonal/>
    </border>
    <border>
      <left style="thin">
        <color rgb="FFB8CCE4"/>
      </left>
      <right style="thin">
        <color rgb="FFB8CCE4"/>
      </right>
      <top/>
      <bottom style="thin">
        <color rgb="FFB8CCE4"/>
      </bottom>
      <diagonal/>
    </border>
    <border>
      <left/>
      <right/>
      <top style="thin">
        <color rgb="FFBFBFBF"/>
      </top>
      <bottom/>
      <diagonal/>
    </border>
  </borders>
  <cellStyleXfs count="4">
    <xf numFmtId="0" fontId="0" fillId="0" borderId="0"/>
    <xf numFmtId="0" fontId="2" fillId="0" borderId="0"/>
    <xf numFmtId="0" fontId="28" fillId="0" borderId="0" applyNumberFormat="0" applyFill="0" applyBorder="0" applyAlignment="0" applyProtection="0"/>
    <xf numFmtId="0" fontId="1" fillId="0" borderId="0"/>
  </cellStyleXfs>
  <cellXfs count="94">
    <xf numFmtId="0" fontId="0" fillId="0" borderId="0" xfId="0"/>
    <xf numFmtId="0" fontId="3" fillId="0" borderId="0" xfId="0" applyFont="1"/>
    <xf numFmtId="0" fontId="7" fillId="5" borderId="2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164" fontId="10" fillId="7" borderId="2" xfId="0" applyNumberFormat="1" applyFont="1" applyFill="1" applyBorder="1" applyAlignment="1">
      <alignment horizontal="center" vertical="center"/>
    </xf>
    <xf numFmtId="165" fontId="10" fillId="7" borderId="2" xfId="0" applyNumberFormat="1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164" fontId="10" fillId="8" borderId="2" xfId="0" applyNumberFormat="1" applyFont="1" applyFill="1" applyBorder="1" applyAlignment="1">
      <alignment horizontal="center" vertical="center"/>
    </xf>
    <xf numFmtId="165" fontId="10" fillId="8" borderId="2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164" fontId="10" fillId="6" borderId="2" xfId="0" applyNumberFormat="1" applyFont="1" applyFill="1" applyBorder="1" applyAlignment="1">
      <alignment horizontal="center" vertical="center"/>
    </xf>
    <xf numFmtId="165" fontId="10" fillId="6" borderId="2" xfId="0" applyNumberFormat="1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0" borderId="2" xfId="0" applyFont="1" applyFill="1" applyBorder="1" applyAlignment="1">
      <alignment horizontal="left" vertical="center"/>
    </xf>
    <xf numFmtId="2" fontId="10" fillId="10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left" vertical="center"/>
    </xf>
    <xf numFmtId="2" fontId="10" fillId="7" borderId="2" xfId="0" applyNumberFormat="1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9" borderId="2" xfId="0" applyFont="1" applyFill="1" applyBorder="1" applyAlignment="1">
      <alignment horizontal="center" vertical="center" wrapText="1"/>
    </xf>
    <xf numFmtId="1" fontId="19" fillId="10" borderId="2" xfId="0" applyNumberFormat="1" applyFont="1" applyFill="1" applyBorder="1" applyAlignment="1">
      <alignment horizontal="center" vertical="center"/>
    </xf>
    <xf numFmtId="0" fontId="19" fillId="10" borderId="2" xfId="0" applyFont="1" applyFill="1" applyBorder="1" applyAlignment="1">
      <alignment horizontal="left" vertical="center"/>
    </xf>
    <xf numFmtId="164" fontId="19" fillId="10" borderId="2" xfId="0" applyNumberFormat="1" applyFont="1" applyFill="1" applyBorder="1" applyAlignment="1">
      <alignment horizontal="center" vertical="center"/>
    </xf>
    <xf numFmtId="1" fontId="19" fillId="7" borderId="2" xfId="0" applyNumberFormat="1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left" vertical="center"/>
    </xf>
    <xf numFmtId="164" fontId="19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right" vertical="center"/>
    </xf>
    <xf numFmtId="165" fontId="10" fillId="7" borderId="2" xfId="0" applyNumberFormat="1" applyFont="1" applyFill="1" applyBorder="1" applyAlignment="1">
      <alignment horizontal="right" vertical="center"/>
    </xf>
    <xf numFmtId="165" fontId="11" fillId="7" borderId="2" xfId="0" applyNumberFormat="1" applyFont="1" applyFill="1" applyBorder="1" applyAlignment="1">
      <alignment horizontal="right" vertical="center"/>
    </xf>
    <xf numFmtId="2" fontId="7" fillId="5" borderId="2" xfId="0" applyNumberFormat="1" applyFont="1" applyFill="1" applyBorder="1" applyAlignment="1">
      <alignment horizontal="right" vertical="center"/>
    </xf>
    <xf numFmtId="165" fontId="13" fillId="6" borderId="3" xfId="0" applyNumberFormat="1" applyFont="1" applyFill="1" applyBorder="1" applyAlignment="1">
      <alignment horizontal="right" vertical="center"/>
    </xf>
    <xf numFmtId="0" fontId="21" fillId="0" borderId="0" xfId="0" applyFont="1"/>
    <xf numFmtId="0" fontId="24" fillId="13" borderId="0" xfId="0" applyFont="1" applyFill="1" applyAlignment="1">
      <alignment horizontal="left" vertical="center" wrapText="1"/>
    </xf>
    <xf numFmtId="0" fontId="25" fillId="13" borderId="0" xfId="0" applyFont="1" applyFill="1" applyAlignment="1">
      <alignment horizontal="left" vertical="center" wrapText="1"/>
    </xf>
    <xf numFmtId="0" fontId="26" fillId="13" borderId="0" xfId="0" applyFont="1" applyFill="1" applyAlignment="1">
      <alignment horizontal="left" vertical="center" wrapText="1"/>
    </xf>
    <xf numFmtId="0" fontId="29" fillId="13" borderId="0" xfId="2" applyFont="1" applyFill="1" applyAlignment="1">
      <alignment horizontal="left" vertical="center" wrapText="1"/>
    </xf>
    <xf numFmtId="0" fontId="1" fillId="0" borderId="0" xfId="3"/>
    <xf numFmtId="0" fontId="5" fillId="16" borderId="4" xfId="3" applyFont="1" applyFill="1" applyBorder="1" applyAlignment="1">
      <alignment horizontal="center" vertical="center"/>
    </xf>
    <xf numFmtId="0" fontId="7" fillId="17" borderId="4" xfId="3" applyFont="1" applyFill="1" applyBorder="1" applyAlignment="1">
      <alignment horizontal="left" vertical="center" wrapText="1"/>
    </xf>
    <xf numFmtId="0" fontId="7" fillId="17" borderId="4" xfId="3" applyFont="1" applyFill="1" applyBorder="1" applyAlignment="1">
      <alignment horizontal="center" vertical="center" wrapText="1"/>
    </xf>
    <xf numFmtId="0" fontId="7" fillId="18" borderId="4" xfId="3" applyFont="1" applyFill="1" applyBorder="1" applyAlignment="1">
      <alignment horizontal="left" vertical="center" wrapText="1"/>
    </xf>
    <xf numFmtId="0" fontId="7" fillId="18" borderId="4" xfId="3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right" vertical="center" wrapText="1"/>
    </xf>
    <xf numFmtId="164" fontId="11" fillId="0" borderId="9" xfId="0" applyNumberFormat="1" applyFont="1" applyBorder="1" applyAlignment="1">
      <alignment horizontal="center" vertical="center"/>
    </xf>
    <xf numFmtId="165" fontId="11" fillId="7" borderId="2" xfId="0" applyNumberFormat="1" applyFont="1" applyFill="1" applyBorder="1" applyAlignment="1">
      <alignment horizontal="center" vertical="center"/>
    </xf>
    <xf numFmtId="165" fontId="11" fillId="4" borderId="2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9" fillId="6" borderId="0" xfId="0" applyFont="1" applyFill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27" fillId="14" borderId="0" xfId="0" applyFont="1" applyFill="1" applyAlignment="1">
      <alignment horizontal="left" vertical="center" wrapText="1"/>
    </xf>
    <xf numFmtId="0" fontId="21" fillId="0" borderId="0" xfId="0" applyFont="1"/>
    <xf numFmtId="0" fontId="20" fillId="11" borderId="0" xfId="0" applyFont="1" applyFill="1" applyAlignment="1">
      <alignment horizontal="center" vertical="center" wrapText="1"/>
    </xf>
    <xf numFmtId="0" fontId="22" fillId="11" borderId="0" xfId="0" applyFont="1" applyFill="1" applyAlignment="1">
      <alignment horizontal="center" vertical="center" wrapText="1"/>
    </xf>
    <xf numFmtId="0" fontId="23" fillId="12" borderId="0" xfId="0" applyFont="1" applyFill="1" applyAlignment="1">
      <alignment horizontal="left" vertical="center" wrapText="1"/>
    </xf>
    <xf numFmtId="0" fontId="9" fillId="0" borderId="0" xfId="3" applyFont="1" applyAlignment="1">
      <alignment horizontal="left" vertical="center"/>
    </xf>
    <xf numFmtId="0" fontId="1" fillId="0" borderId="0" xfId="3"/>
    <xf numFmtId="0" fontId="14" fillId="0" borderId="0" xfId="3" applyFont="1" applyAlignment="1">
      <alignment horizontal="left" vertical="center" wrapText="1"/>
    </xf>
    <xf numFmtId="0" fontId="5" fillId="15" borderId="4" xfId="3" applyFont="1" applyFill="1" applyBorder="1" applyAlignment="1">
      <alignment horizontal="center" vertical="center" wrapText="1"/>
    </xf>
    <xf numFmtId="0" fontId="7" fillId="18" borderId="6" xfId="3" applyFont="1" applyFill="1" applyBorder="1" applyAlignment="1">
      <alignment horizontal="center" vertical="center" wrapText="1"/>
    </xf>
    <xf numFmtId="0" fontId="7" fillId="18" borderId="7" xfId="3" applyFont="1" applyFill="1" applyBorder="1" applyAlignment="1">
      <alignment horizontal="center" vertical="center" wrapText="1"/>
    </xf>
    <xf numFmtId="0" fontId="7" fillId="18" borderId="8" xfId="3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9" fillId="0" borderId="0" xfId="0" applyFont="1"/>
    <xf numFmtId="0" fontId="12" fillId="3" borderId="0" xfId="0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6" fillId="6" borderId="1" xfId="0" applyFont="1" applyFill="1" applyBorder="1" applyAlignment="1">
      <alignment horizontal="left" vertical="center" wrapText="1"/>
    </xf>
    <xf numFmtId="0" fontId="12" fillId="2" borderId="0" xfId="0" applyFont="1" applyFill="1" applyAlignment="1">
      <alignment horizontal="right" vertical="center"/>
    </xf>
    <xf numFmtId="0" fontId="9" fillId="6" borderId="0" xfId="0" applyFont="1" applyFill="1" applyAlignment="1">
      <alignment horizontal="right" vertical="center"/>
    </xf>
    <xf numFmtId="0" fontId="14" fillId="7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6" fillId="10" borderId="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9" fillId="10" borderId="2" xfId="0" applyFont="1" applyFill="1" applyBorder="1"/>
    <xf numFmtId="0" fontId="9" fillId="7" borderId="2" xfId="0" applyFont="1" applyFill="1" applyBorder="1"/>
    <xf numFmtId="0" fontId="5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left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 wrapText="1"/>
    </xf>
    <xf numFmtId="0" fontId="30" fillId="0" borderId="0" xfId="3" applyFont="1" applyAlignment="1">
      <alignment horizontal="left" vertical="center" wrapText="1"/>
    </xf>
  </cellXfs>
  <cellStyles count="4">
    <cellStyle name="Collegamento ipertestuale" xfId="2" builtinId="8"/>
    <cellStyle name="Normale" xfId="0" builtinId="0"/>
    <cellStyle name="Normale 2" xfId="1" xr:uid="{63906859-67DE-4A25-BB1A-CC331B1953A9}"/>
    <cellStyle name="Normale 2 2" xfId="3" xr:uid="{5B598DB1-1B48-40FF-9F71-13CD259059D7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E6B3C"/>
      <rgbColor rgb="FF000080"/>
      <rgbColor rgb="FF808000"/>
      <rgbColor rgb="FF800080"/>
      <rgbColor rgb="FF008080"/>
      <rgbColor rgb="FFBFBFBF"/>
      <rgbColor rgb="FF7F7F7F"/>
      <rgbColor rgb="FF9999FF"/>
      <rgbColor rgb="FF993366"/>
      <rgbColor rgb="FFFFF2CC"/>
      <rgbColor rgb="FFD6E4F0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FF99"/>
      <rgbColor rgb="FF99CCFF"/>
      <rgbColor rgb="FFFF99CC"/>
      <rgbColor rgb="FFCC99FF"/>
      <rgbColor rgb="FFFCE4D6"/>
      <rgbColor rgb="FF2E75B6"/>
      <rgbColor rgb="FF33CCCC"/>
      <rgbColor rgb="FF99CC00"/>
      <rgbColor rgb="FFFFCC00"/>
      <rgbColor rgb="FFFF9900"/>
      <rgbColor rgb="FFED7D31"/>
      <rgbColor rgb="FF595959"/>
      <rgbColor rgb="FF878787"/>
      <rgbColor rgb="FF003366"/>
      <rgbColor rgb="FF339966"/>
      <rgbColor rgb="FF003300"/>
      <rgbColor rgb="FF333300"/>
      <rgbColor rgb="FFC65911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9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8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0" Type="http://schemas.openxmlformats.org/officeDocument/2006/relationships/chartsheet" Target="chartsheets/sheet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SG – Sabbie e Ghiaie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SG.1–IRS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'ABACO-SG'!$A$6:$A$7</c:f>
              <c:numCache>
                <c:formatCode>General</c:formatCode>
                <c:ptCount val="2"/>
                <c:pt idx="0">
                  <c:v>0.25440000000000002</c:v>
                </c:pt>
                <c:pt idx="1">
                  <c:v>6.8914999999999997</c:v>
                </c:pt>
              </c:numCache>
            </c:numRef>
          </c:xVal>
          <c:yVal>
            <c:numRef>
              <c:f>'ABACO-SG'!$B$6:$B$7</c:f>
              <c:numCache>
                <c:formatCode>General</c:formatCode>
                <c:ptCount val="2"/>
                <c:pt idx="0">
                  <c:v>7.8100000000000003E-2</c:v>
                </c:pt>
                <c:pt idx="1">
                  <c:v>0.83420000000000005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5-433F-9ECA-084FBE39D3D3}"/>
            </c:ext>
          </c:extLst>
        </c:ser>
        <c:ser>
          <c:idx val="1"/>
          <c:order val="1"/>
          <c:tx>
            <c:v>SG.2–IGU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'ABACO-SG'!$C$6:$C$7</c:f>
              <c:numCache>
                <c:formatCode>General</c:formatCode>
                <c:ptCount val="2"/>
                <c:pt idx="0">
                  <c:v>0.251</c:v>
                </c:pt>
                <c:pt idx="1">
                  <c:v>6.9557000000000002</c:v>
                </c:pt>
              </c:numCache>
            </c:numRef>
          </c:xVal>
          <c:yVal>
            <c:numRef>
              <c:f>'ABACO-SG'!$D$6:$D$7</c:f>
              <c:numCache>
                <c:formatCode>General</c:formatCode>
                <c:ptCount val="2"/>
                <c:pt idx="0">
                  <c:v>2.41E-2</c:v>
                </c:pt>
                <c:pt idx="1">
                  <c:v>0.78649999999999998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45-433F-9ECA-084FBE39D3D3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'ABACO-SG'!$E$6:$E$59</c:f>
              <c:numCache>
                <c:formatCode>General</c:formatCode>
                <c:ptCount val="54"/>
                <c:pt idx="0">
                  <c:v>1.2471000000000001</c:v>
                </c:pt>
                <c:pt idx="1">
                  <c:v>1.353</c:v>
                </c:pt>
                <c:pt idx="2">
                  <c:v>1.5022</c:v>
                </c:pt>
                <c:pt idx="3">
                  <c:v>1.4990000000000001</c:v>
                </c:pt>
                <c:pt idx="4">
                  <c:v>1.6209</c:v>
                </c:pt>
                <c:pt idx="5">
                  <c:v>1.8503000000000001</c:v>
                </c:pt>
                <c:pt idx="6">
                  <c:v>1.9369000000000001</c:v>
                </c:pt>
                <c:pt idx="7">
                  <c:v>1.9995000000000001</c:v>
                </c:pt>
                <c:pt idx="8">
                  <c:v>2.0026999999999999</c:v>
                </c:pt>
                <c:pt idx="9">
                  <c:v>2.0701000000000001</c:v>
                </c:pt>
                <c:pt idx="10">
                  <c:v>2.0653000000000001</c:v>
                </c:pt>
                <c:pt idx="11">
                  <c:v>1.9320999999999999</c:v>
                </c:pt>
                <c:pt idx="12">
                  <c:v>4.0015999999999998</c:v>
                </c:pt>
                <c:pt idx="13">
                  <c:v>4.0031999999999996</c:v>
                </c:pt>
                <c:pt idx="14">
                  <c:v>4.4957000000000003</c:v>
                </c:pt>
                <c:pt idx="15">
                  <c:v>5.0011000000000001</c:v>
                </c:pt>
                <c:pt idx="16">
                  <c:v>4.7460000000000004</c:v>
                </c:pt>
                <c:pt idx="17">
                  <c:v>4.9208999999999996</c:v>
                </c:pt>
                <c:pt idx="18">
                  <c:v>4.9931000000000001</c:v>
                </c:pt>
                <c:pt idx="19">
                  <c:v>1.4316</c:v>
                </c:pt>
                <c:pt idx="20">
                  <c:v>2.0057</c:v>
                </c:pt>
                <c:pt idx="21">
                  <c:v>0.50339999999999996</c:v>
                </c:pt>
                <c:pt idx="22">
                  <c:v>0.48880000000000001</c:v>
                </c:pt>
                <c:pt idx="23">
                  <c:v>0.56189999999999996</c:v>
                </c:pt>
                <c:pt idx="24">
                  <c:v>0.69350000000000001</c:v>
                </c:pt>
                <c:pt idx="25">
                  <c:v>0.84340000000000004</c:v>
                </c:pt>
                <c:pt idx="26">
                  <c:v>0.74829999999999997</c:v>
                </c:pt>
                <c:pt idx="27">
                  <c:v>1.1888000000000001</c:v>
                </c:pt>
                <c:pt idx="28">
                  <c:v>2.0074999999999998</c:v>
                </c:pt>
                <c:pt idx="29">
                  <c:v>2.1318000000000001</c:v>
                </c:pt>
                <c:pt idx="30">
                  <c:v>2.2067000000000001</c:v>
                </c:pt>
                <c:pt idx="31">
                  <c:v>2.2559999999999998</c:v>
                </c:pt>
                <c:pt idx="32">
                  <c:v>2.2816000000000001</c:v>
                </c:pt>
                <c:pt idx="33">
                  <c:v>2.3858000000000001</c:v>
                </c:pt>
                <c:pt idx="34">
                  <c:v>2.3820999999999999</c:v>
                </c:pt>
                <c:pt idx="35">
                  <c:v>2.2963</c:v>
                </c:pt>
                <c:pt idx="36">
                  <c:v>2.2542</c:v>
                </c:pt>
                <c:pt idx="37">
                  <c:v>2.3748</c:v>
                </c:pt>
                <c:pt idx="38">
                  <c:v>2.2542</c:v>
                </c:pt>
                <c:pt idx="39">
                  <c:v>2.5009000000000001</c:v>
                </c:pt>
                <c:pt idx="40">
                  <c:v>2.5028000000000001</c:v>
                </c:pt>
                <c:pt idx="41">
                  <c:v>2.7494999999999998</c:v>
                </c:pt>
                <c:pt idx="42">
                  <c:v>2.8774000000000002</c:v>
                </c:pt>
                <c:pt idx="43">
                  <c:v>2.9230999999999998</c:v>
                </c:pt>
                <c:pt idx="44">
                  <c:v>2.9542000000000002</c:v>
                </c:pt>
                <c:pt idx="45">
                  <c:v>2.9925000000000002</c:v>
                </c:pt>
                <c:pt idx="46">
                  <c:v>3.0034999999999998</c:v>
                </c:pt>
                <c:pt idx="47">
                  <c:v>2.4863</c:v>
                </c:pt>
                <c:pt idx="48">
                  <c:v>2.6234000000000002</c:v>
                </c:pt>
                <c:pt idx="49">
                  <c:v>2.8719000000000001</c:v>
                </c:pt>
                <c:pt idx="50">
                  <c:v>2.9359000000000002</c:v>
                </c:pt>
                <c:pt idx="51">
                  <c:v>3.0072000000000001</c:v>
                </c:pt>
                <c:pt idx="52">
                  <c:v>2.9962</c:v>
                </c:pt>
                <c:pt idx="53">
                  <c:v>3.2484000000000002</c:v>
                </c:pt>
              </c:numCache>
            </c:numRef>
          </c:xVal>
          <c:yVal>
            <c:numRef>
              <c:f>'ABACO-SG'!$F$6:$F$59</c:f>
              <c:numCache>
                <c:formatCode>General</c:formatCode>
                <c:ptCount val="54"/>
                <c:pt idx="0">
                  <c:v>0.17599999999999999</c:v>
                </c:pt>
                <c:pt idx="1">
                  <c:v>0.19589999999999999</c:v>
                </c:pt>
                <c:pt idx="2">
                  <c:v>9.7100000000000006E-2</c:v>
                </c:pt>
                <c:pt idx="3">
                  <c:v>0.13689999999999999</c:v>
                </c:pt>
                <c:pt idx="4">
                  <c:v>0.1547</c:v>
                </c:pt>
                <c:pt idx="5">
                  <c:v>0.25919999999999999</c:v>
                </c:pt>
                <c:pt idx="6">
                  <c:v>0.2596</c:v>
                </c:pt>
                <c:pt idx="7">
                  <c:v>0.25030000000000002</c:v>
                </c:pt>
                <c:pt idx="8">
                  <c:v>0.26669999999999999</c:v>
                </c:pt>
                <c:pt idx="9">
                  <c:v>0.25919999999999999</c:v>
                </c:pt>
                <c:pt idx="10">
                  <c:v>0.32</c:v>
                </c:pt>
                <c:pt idx="11">
                  <c:v>0.33529999999999999</c:v>
                </c:pt>
                <c:pt idx="12">
                  <c:v>0.49769999999999998</c:v>
                </c:pt>
                <c:pt idx="13">
                  <c:v>0.54249999999999998</c:v>
                </c:pt>
                <c:pt idx="14">
                  <c:v>0.5091</c:v>
                </c:pt>
                <c:pt idx="15">
                  <c:v>0.50760000000000005</c:v>
                </c:pt>
                <c:pt idx="16">
                  <c:v>0.67930000000000001</c:v>
                </c:pt>
                <c:pt idx="17">
                  <c:v>0.73080000000000001</c:v>
                </c:pt>
                <c:pt idx="18">
                  <c:v>0.80579999999999996</c:v>
                </c:pt>
                <c:pt idx="19">
                  <c:v>0.15140000000000001</c:v>
                </c:pt>
                <c:pt idx="20">
                  <c:v>0.223</c:v>
                </c:pt>
                <c:pt idx="21">
                  <c:v>0.1203</c:v>
                </c:pt>
                <c:pt idx="22">
                  <c:v>0.13489999999999999</c:v>
                </c:pt>
                <c:pt idx="23">
                  <c:v>0.13320000000000001</c:v>
                </c:pt>
                <c:pt idx="24">
                  <c:v>9.8400000000000001E-2</c:v>
                </c:pt>
                <c:pt idx="25">
                  <c:v>0.15509999999999999</c:v>
                </c:pt>
                <c:pt idx="26">
                  <c:v>0.2077</c:v>
                </c:pt>
                <c:pt idx="27">
                  <c:v>0.16</c:v>
                </c:pt>
                <c:pt idx="28">
                  <c:v>0.36120000000000002</c:v>
                </c:pt>
                <c:pt idx="29">
                  <c:v>0.26850000000000002</c:v>
                </c:pt>
                <c:pt idx="30">
                  <c:v>0.217</c:v>
                </c:pt>
                <c:pt idx="31">
                  <c:v>0.16239999999999999</c:v>
                </c:pt>
                <c:pt idx="32">
                  <c:v>0.21740000000000001</c:v>
                </c:pt>
                <c:pt idx="33">
                  <c:v>0.22389999999999999</c:v>
                </c:pt>
                <c:pt idx="34">
                  <c:v>0.25109999999999999</c:v>
                </c:pt>
                <c:pt idx="35">
                  <c:v>0.25059999999999999</c:v>
                </c:pt>
                <c:pt idx="36">
                  <c:v>0.28220000000000001</c:v>
                </c:pt>
                <c:pt idx="37">
                  <c:v>0.27450000000000002</c:v>
                </c:pt>
                <c:pt idx="38">
                  <c:v>0.3009</c:v>
                </c:pt>
                <c:pt idx="39">
                  <c:v>0.30809999999999998</c:v>
                </c:pt>
                <c:pt idx="40">
                  <c:v>0.42309999999999998</c:v>
                </c:pt>
                <c:pt idx="41">
                  <c:v>0.40570000000000001</c:v>
                </c:pt>
                <c:pt idx="42">
                  <c:v>0.37290000000000001</c:v>
                </c:pt>
                <c:pt idx="43">
                  <c:v>0.33689999999999998</c:v>
                </c:pt>
                <c:pt idx="44">
                  <c:v>0.29599999999999999</c:v>
                </c:pt>
                <c:pt idx="45">
                  <c:v>0.43730000000000002</c:v>
                </c:pt>
                <c:pt idx="46">
                  <c:v>0.21740000000000001</c:v>
                </c:pt>
                <c:pt idx="47">
                  <c:v>0.59119999999999995</c:v>
                </c:pt>
                <c:pt idx="48">
                  <c:v>0.5393</c:v>
                </c:pt>
                <c:pt idx="49">
                  <c:v>0.5393</c:v>
                </c:pt>
                <c:pt idx="50">
                  <c:v>0.54049999999999998</c:v>
                </c:pt>
                <c:pt idx="51">
                  <c:v>0.56559999999999999</c:v>
                </c:pt>
                <c:pt idx="52">
                  <c:v>0.51019999999999999</c:v>
                </c:pt>
                <c:pt idx="53">
                  <c:v>0.2515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5-433F-9ECA-084FBE39D3D3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'ABACO-SG'!$G$6:$G$48</c:f>
              <c:numCache>
                <c:formatCode>General</c:formatCode>
                <c:ptCount val="43"/>
                <c:pt idx="0">
                  <c:v>0.42259999999999998</c:v>
                </c:pt>
                <c:pt idx="1">
                  <c:v>0.74819999999999998</c:v>
                </c:pt>
                <c:pt idx="2">
                  <c:v>1.4185000000000001</c:v>
                </c:pt>
                <c:pt idx="3">
                  <c:v>1.385</c:v>
                </c:pt>
                <c:pt idx="4">
                  <c:v>1.377</c:v>
                </c:pt>
                <c:pt idx="5">
                  <c:v>1.5031000000000001</c:v>
                </c:pt>
                <c:pt idx="6">
                  <c:v>1.4806999999999999</c:v>
                </c:pt>
                <c:pt idx="7">
                  <c:v>1.5621</c:v>
                </c:pt>
                <c:pt idx="8">
                  <c:v>1.6307</c:v>
                </c:pt>
                <c:pt idx="9">
                  <c:v>1.7487999999999999</c:v>
                </c:pt>
                <c:pt idx="10">
                  <c:v>1.8333999999999999</c:v>
                </c:pt>
                <c:pt idx="11">
                  <c:v>2.0042</c:v>
                </c:pt>
                <c:pt idx="12">
                  <c:v>1.5031000000000001</c:v>
                </c:pt>
                <c:pt idx="13">
                  <c:v>1.8829</c:v>
                </c:pt>
                <c:pt idx="14">
                  <c:v>1.8733</c:v>
                </c:pt>
                <c:pt idx="15">
                  <c:v>1.9994000000000001</c:v>
                </c:pt>
                <c:pt idx="16">
                  <c:v>1.9978</c:v>
                </c:pt>
                <c:pt idx="17">
                  <c:v>1.8876999999999999</c:v>
                </c:pt>
                <c:pt idx="18">
                  <c:v>1.7456</c:v>
                </c:pt>
                <c:pt idx="19">
                  <c:v>2.4638</c:v>
                </c:pt>
                <c:pt idx="20">
                  <c:v>2.5914999999999999</c:v>
                </c:pt>
                <c:pt idx="21">
                  <c:v>2.8069999999999999</c:v>
                </c:pt>
                <c:pt idx="22">
                  <c:v>3.0065</c:v>
                </c:pt>
                <c:pt idx="23">
                  <c:v>3.0097</c:v>
                </c:pt>
                <c:pt idx="24">
                  <c:v>3.9975999999999998</c:v>
                </c:pt>
                <c:pt idx="25">
                  <c:v>3.9975999999999998</c:v>
                </c:pt>
                <c:pt idx="26">
                  <c:v>4.8738000000000001</c:v>
                </c:pt>
                <c:pt idx="27">
                  <c:v>4.9950999999999999</c:v>
                </c:pt>
                <c:pt idx="28">
                  <c:v>1.3217000000000001</c:v>
                </c:pt>
                <c:pt idx="29">
                  <c:v>1.621</c:v>
                </c:pt>
                <c:pt idx="30">
                  <c:v>1.6263000000000001</c:v>
                </c:pt>
                <c:pt idx="31">
                  <c:v>1.8019000000000001</c:v>
                </c:pt>
                <c:pt idx="32">
                  <c:v>2.008</c:v>
                </c:pt>
                <c:pt idx="33">
                  <c:v>3.9863</c:v>
                </c:pt>
                <c:pt idx="34">
                  <c:v>4.6116999999999999</c:v>
                </c:pt>
                <c:pt idx="35">
                  <c:v>5.9269999999999996</c:v>
                </c:pt>
                <c:pt idx="36">
                  <c:v>5.9825999999999997</c:v>
                </c:pt>
                <c:pt idx="37">
                  <c:v>4.4898999999999996</c:v>
                </c:pt>
                <c:pt idx="38">
                  <c:v>4.9916</c:v>
                </c:pt>
                <c:pt idx="39">
                  <c:v>5.9987000000000004</c:v>
                </c:pt>
                <c:pt idx="40">
                  <c:v>6.4824999999999999</c:v>
                </c:pt>
                <c:pt idx="41">
                  <c:v>6.9555999999999996</c:v>
                </c:pt>
                <c:pt idx="42">
                  <c:v>2.5626000000000002</c:v>
                </c:pt>
              </c:numCache>
            </c:numRef>
          </c:xVal>
          <c:yVal>
            <c:numRef>
              <c:f>'ABACO-SG'!$H$6:$H$48</c:f>
              <c:numCache>
                <c:formatCode>General</c:formatCode>
                <c:ptCount val="43"/>
                <c:pt idx="0">
                  <c:v>2.9000000000000001E-2</c:v>
                </c:pt>
                <c:pt idx="1">
                  <c:v>8.3799999999999999E-2</c:v>
                </c:pt>
                <c:pt idx="2">
                  <c:v>0.14069999999999999</c:v>
                </c:pt>
                <c:pt idx="3">
                  <c:v>0.1605</c:v>
                </c:pt>
                <c:pt idx="4">
                  <c:v>0.23480000000000001</c:v>
                </c:pt>
                <c:pt idx="5">
                  <c:v>0.23580000000000001</c:v>
                </c:pt>
                <c:pt idx="6">
                  <c:v>0.157</c:v>
                </c:pt>
                <c:pt idx="7">
                  <c:v>0.16650000000000001</c:v>
                </c:pt>
                <c:pt idx="8">
                  <c:v>0.2341</c:v>
                </c:pt>
                <c:pt idx="9">
                  <c:v>0.2379</c:v>
                </c:pt>
                <c:pt idx="10">
                  <c:v>0.23019999999999999</c:v>
                </c:pt>
                <c:pt idx="11">
                  <c:v>0.15870000000000001</c:v>
                </c:pt>
                <c:pt idx="12">
                  <c:v>0.28849999999999998</c:v>
                </c:pt>
                <c:pt idx="13">
                  <c:v>0.28360000000000002</c:v>
                </c:pt>
                <c:pt idx="14">
                  <c:v>0.30969999999999998</c:v>
                </c:pt>
                <c:pt idx="15">
                  <c:v>0.29880000000000001</c:v>
                </c:pt>
                <c:pt idx="16">
                  <c:v>0.2394</c:v>
                </c:pt>
                <c:pt idx="17">
                  <c:v>0.33479999999999999</c:v>
                </c:pt>
                <c:pt idx="18">
                  <c:v>0.35289999999999999</c:v>
                </c:pt>
                <c:pt idx="19">
                  <c:v>0.34189999999999998</c:v>
                </c:pt>
                <c:pt idx="20">
                  <c:v>0.3412</c:v>
                </c:pt>
                <c:pt idx="21">
                  <c:v>0.28499999999999998</c:v>
                </c:pt>
                <c:pt idx="22">
                  <c:v>0.25850000000000001</c:v>
                </c:pt>
                <c:pt idx="23">
                  <c:v>0.29980000000000001</c:v>
                </c:pt>
                <c:pt idx="24">
                  <c:v>0.4335</c:v>
                </c:pt>
                <c:pt idx="25">
                  <c:v>0.48370000000000002</c:v>
                </c:pt>
                <c:pt idx="26">
                  <c:v>0.67849999999999999</c:v>
                </c:pt>
                <c:pt idx="27">
                  <c:v>0.67889999999999995</c:v>
                </c:pt>
                <c:pt idx="28">
                  <c:v>0.35639999999999999</c:v>
                </c:pt>
                <c:pt idx="29">
                  <c:v>0.30840000000000001</c:v>
                </c:pt>
                <c:pt idx="30">
                  <c:v>0.33860000000000001</c:v>
                </c:pt>
                <c:pt idx="31">
                  <c:v>0.38779999999999998</c:v>
                </c:pt>
                <c:pt idx="32">
                  <c:v>0.4239</c:v>
                </c:pt>
                <c:pt idx="33">
                  <c:v>0.68830000000000002</c:v>
                </c:pt>
                <c:pt idx="34">
                  <c:v>0.68910000000000005</c:v>
                </c:pt>
                <c:pt idx="35">
                  <c:v>0.69069999999999998</c:v>
                </c:pt>
                <c:pt idx="36">
                  <c:v>0.71179999999999999</c:v>
                </c:pt>
                <c:pt idx="37">
                  <c:v>0.79190000000000005</c:v>
                </c:pt>
                <c:pt idx="38">
                  <c:v>0.77959999999999996</c:v>
                </c:pt>
                <c:pt idx="39">
                  <c:v>0.80189999999999995</c:v>
                </c:pt>
                <c:pt idx="40">
                  <c:v>0.90229999999999999</c:v>
                </c:pt>
                <c:pt idx="41">
                  <c:v>0.84709999999999996</c:v>
                </c:pt>
                <c:pt idx="42">
                  <c:v>0.59030000000000005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45-433F-9ECA-084FBE39D3D3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 w="12700">
                <a:solidFill>
                  <a:srgbClr val="FF0000"/>
                </a:solidFill>
              </a:ln>
            </c:spPr>
          </c:marker>
          <c:xVal>
            <c:numRef>
              <c:f>'ABACO-SG'!$K$6:$K$15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0.16303892814632898</c:v>
                </c:pt>
                <c:pt idx="3">
                  <c:v>0.2769591643940878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345-433F-9ECA-084FBE39D3D3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'ABACO-SG'!$M$6:$M$15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2</c:v>
                </c:pt>
                <c:pt idx="3">
                  <c:v>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'ABACO-SG'!$N$6:$N$15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0.2769591643940878</c:v>
                </c:pt>
                <c:pt idx="3">
                  <c:v>0.16303892814632898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345-433F-9ECA-084FBE39D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8508"/>
        <c:axId val="3957942"/>
      </c:scatterChart>
      <c:valAx>
        <c:axId val="24128508"/>
        <c:scaling>
          <c:orientation val="minMax"/>
          <c:max val="7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3957942"/>
        <c:crosses val="autoZero"/>
        <c:crossBetween val="midCat"/>
      </c:valAx>
      <c:valAx>
        <c:axId val="3957942"/>
        <c:scaling>
          <c:orientation val="minMax"/>
          <c:max val="1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4128508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AL – Argille e Limi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'ABACO-AL'!$A$6:$A$25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'ABACO-AL'!$B$6:$B$25</c:f>
              <c:numCache>
                <c:formatCode>General</c:formatCode>
                <c:ptCount val="20"/>
                <c:pt idx="0">
                  <c:v>4.2999999999999997E-2</c:v>
                </c:pt>
                <c:pt idx="1">
                  <c:v>7.0800000000000002E-2</c:v>
                </c:pt>
                <c:pt idx="2">
                  <c:v>9.2899999999999996E-2</c:v>
                </c:pt>
                <c:pt idx="3">
                  <c:v>0.1119</c:v>
                </c:pt>
                <c:pt idx="4">
                  <c:v>0.12909999999999999</c:v>
                </c:pt>
                <c:pt idx="5">
                  <c:v>0.14499999999999999</c:v>
                </c:pt>
                <c:pt idx="6">
                  <c:v>0.1598</c:v>
                </c:pt>
                <c:pt idx="7">
                  <c:v>0.17369999999999999</c:v>
                </c:pt>
                <c:pt idx="8">
                  <c:v>0.187</c:v>
                </c:pt>
                <c:pt idx="9">
                  <c:v>0.19969999999999999</c:v>
                </c:pt>
                <c:pt idx="10">
                  <c:v>0.21190000000000001</c:v>
                </c:pt>
                <c:pt idx="11">
                  <c:v>0.22370000000000001</c:v>
                </c:pt>
                <c:pt idx="12">
                  <c:v>0.2351</c:v>
                </c:pt>
                <c:pt idx="13">
                  <c:v>0.2462</c:v>
                </c:pt>
                <c:pt idx="14">
                  <c:v>0.25690000000000002</c:v>
                </c:pt>
                <c:pt idx="15">
                  <c:v>0.26740000000000003</c:v>
                </c:pt>
                <c:pt idx="16">
                  <c:v>0.27760000000000001</c:v>
                </c:pt>
                <c:pt idx="17">
                  <c:v>0.28760000000000002</c:v>
                </c:pt>
                <c:pt idx="18">
                  <c:v>0.29730000000000001</c:v>
                </c:pt>
                <c:pt idx="19">
                  <c:v>0.30690000000000001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8B-4B3D-B96F-4BD40167F568}"/>
            </c:ext>
          </c:extLst>
        </c:ser>
        <c:ser>
          <c:idx val="1"/>
          <c:order val="1"/>
          <c:tx>
            <c:v>AL.2–IGU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'ABACO-AL'!$C$6:$C$25</c:f>
              <c:numCache>
                <c:formatCode>General</c:formatCode>
                <c:ptCount val="20"/>
                <c:pt idx="0">
                  <c:v>0.1</c:v>
                </c:pt>
                <c:pt idx="1">
                  <c:v>0.2263</c:v>
                </c:pt>
                <c:pt idx="2">
                  <c:v>0.35260000000000002</c:v>
                </c:pt>
                <c:pt idx="3">
                  <c:v>0.47889999999999999</c:v>
                </c:pt>
                <c:pt idx="4">
                  <c:v>0.60529999999999995</c:v>
                </c:pt>
                <c:pt idx="5">
                  <c:v>0.73160000000000003</c:v>
                </c:pt>
                <c:pt idx="6">
                  <c:v>0.8579</c:v>
                </c:pt>
                <c:pt idx="7">
                  <c:v>0.98419999999999996</c:v>
                </c:pt>
                <c:pt idx="8">
                  <c:v>1.1105</c:v>
                </c:pt>
                <c:pt idx="9">
                  <c:v>1.2367999999999999</c:v>
                </c:pt>
                <c:pt idx="10">
                  <c:v>1.3632</c:v>
                </c:pt>
                <c:pt idx="11">
                  <c:v>1.4895</c:v>
                </c:pt>
                <c:pt idx="12">
                  <c:v>1.6157999999999999</c:v>
                </c:pt>
                <c:pt idx="13">
                  <c:v>1.7421</c:v>
                </c:pt>
                <c:pt idx="14">
                  <c:v>1.8684000000000001</c:v>
                </c:pt>
                <c:pt idx="15">
                  <c:v>1.9946999999999999</c:v>
                </c:pt>
                <c:pt idx="16">
                  <c:v>2.1211000000000002</c:v>
                </c:pt>
                <c:pt idx="17">
                  <c:v>2.2473999999999998</c:v>
                </c:pt>
                <c:pt idx="18">
                  <c:v>2.3736999999999999</c:v>
                </c:pt>
                <c:pt idx="19">
                  <c:v>2.5</c:v>
                </c:pt>
              </c:numCache>
            </c:numRef>
          </c:xVal>
          <c:yVal>
            <c:numRef>
              <c:f>'ABACO-AL'!$D$6:$D$25</c:f>
              <c:numCache>
                <c:formatCode>General</c:formatCode>
                <c:ptCount val="20"/>
                <c:pt idx="0">
                  <c:v>2.4E-2</c:v>
                </c:pt>
                <c:pt idx="1">
                  <c:v>3.9699999999999999E-2</c:v>
                </c:pt>
                <c:pt idx="2">
                  <c:v>5.2200000000000003E-2</c:v>
                </c:pt>
                <c:pt idx="3">
                  <c:v>6.3100000000000003E-2</c:v>
                </c:pt>
                <c:pt idx="4">
                  <c:v>7.2900000000000006E-2</c:v>
                </c:pt>
                <c:pt idx="5">
                  <c:v>8.1900000000000001E-2</c:v>
                </c:pt>
                <c:pt idx="6">
                  <c:v>9.0399999999999994E-2</c:v>
                </c:pt>
                <c:pt idx="7">
                  <c:v>9.8400000000000001E-2</c:v>
                </c:pt>
                <c:pt idx="8">
                  <c:v>0.106</c:v>
                </c:pt>
                <c:pt idx="9">
                  <c:v>0.1133</c:v>
                </c:pt>
                <c:pt idx="10">
                  <c:v>0.1203</c:v>
                </c:pt>
                <c:pt idx="11">
                  <c:v>0.12709999999999999</c:v>
                </c:pt>
                <c:pt idx="12">
                  <c:v>0.1336</c:v>
                </c:pt>
                <c:pt idx="13">
                  <c:v>0.14000000000000001</c:v>
                </c:pt>
                <c:pt idx="14">
                  <c:v>0.1462</c:v>
                </c:pt>
                <c:pt idx="15">
                  <c:v>0.1522</c:v>
                </c:pt>
                <c:pt idx="16">
                  <c:v>0.15809999999999999</c:v>
                </c:pt>
                <c:pt idx="17">
                  <c:v>0.1638</c:v>
                </c:pt>
                <c:pt idx="18">
                  <c:v>0.16950000000000001</c:v>
                </c:pt>
                <c:pt idx="19">
                  <c:v>0.17499999999999999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8B-4B3D-B96F-4BD40167F568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'ABACO-AL'!$E$6:$E$58</c:f>
              <c:numCache>
                <c:formatCode>General</c:formatCode>
                <c:ptCount val="53"/>
                <c:pt idx="0">
                  <c:v>0.54800000000000004</c:v>
                </c:pt>
                <c:pt idx="1">
                  <c:v>0.64949999999999997</c:v>
                </c:pt>
                <c:pt idx="2">
                  <c:v>0.60189999999999999</c:v>
                </c:pt>
                <c:pt idx="3">
                  <c:v>0.70089999999999997</c:v>
                </c:pt>
                <c:pt idx="4">
                  <c:v>0.67869999999999997</c:v>
                </c:pt>
                <c:pt idx="5">
                  <c:v>0.69840000000000002</c:v>
                </c:pt>
                <c:pt idx="6">
                  <c:v>0.626</c:v>
                </c:pt>
                <c:pt idx="7">
                  <c:v>0.60509999999999997</c:v>
                </c:pt>
                <c:pt idx="8">
                  <c:v>0.57340000000000002</c:v>
                </c:pt>
                <c:pt idx="9">
                  <c:v>0.5232</c:v>
                </c:pt>
                <c:pt idx="10">
                  <c:v>0.54859999999999998</c:v>
                </c:pt>
                <c:pt idx="11">
                  <c:v>0.58409999999999995</c:v>
                </c:pt>
                <c:pt idx="12">
                  <c:v>0.6038</c:v>
                </c:pt>
                <c:pt idx="13">
                  <c:v>0.57340000000000002</c:v>
                </c:pt>
                <c:pt idx="14">
                  <c:v>0.59809999999999997</c:v>
                </c:pt>
                <c:pt idx="15">
                  <c:v>2.4777999999999998</c:v>
                </c:pt>
                <c:pt idx="16">
                  <c:v>2.4782000000000002</c:v>
                </c:pt>
                <c:pt idx="17">
                  <c:v>0.85009999999999997</c:v>
                </c:pt>
                <c:pt idx="18">
                  <c:v>0.84909999999999997</c:v>
                </c:pt>
                <c:pt idx="19">
                  <c:v>0.87880000000000003</c:v>
                </c:pt>
                <c:pt idx="20">
                  <c:v>0.89880000000000004</c:v>
                </c:pt>
                <c:pt idx="21">
                  <c:v>0.89910000000000001</c:v>
                </c:pt>
                <c:pt idx="22">
                  <c:v>0.95189999999999997</c:v>
                </c:pt>
                <c:pt idx="23">
                  <c:v>1.0016</c:v>
                </c:pt>
                <c:pt idx="24">
                  <c:v>1.0549999999999999</c:v>
                </c:pt>
                <c:pt idx="25">
                  <c:v>1.0464</c:v>
                </c:pt>
                <c:pt idx="26">
                  <c:v>1.4463999999999999</c:v>
                </c:pt>
                <c:pt idx="27">
                  <c:v>1.2974000000000001</c:v>
                </c:pt>
                <c:pt idx="28">
                  <c:v>1.3468</c:v>
                </c:pt>
                <c:pt idx="29">
                  <c:v>1.3993</c:v>
                </c:pt>
                <c:pt idx="30">
                  <c:v>1.2982</c:v>
                </c:pt>
                <c:pt idx="31">
                  <c:v>1.1492</c:v>
                </c:pt>
                <c:pt idx="32">
                  <c:v>1.292</c:v>
                </c:pt>
                <c:pt idx="33">
                  <c:v>1.397</c:v>
                </c:pt>
                <c:pt idx="34">
                  <c:v>1.4978</c:v>
                </c:pt>
                <c:pt idx="35">
                  <c:v>1.597</c:v>
                </c:pt>
                <c:pt idx="36">
                  <c:v>1.5702</c:v>
                </c:pt>
                <c:pt idx="37">
                  <c:v>1.6952</c:v>
                </c:pt>
                <c:pt idx="38">
                  <c:v>0.73570000000000002</c:v>
                </c:pt>
                <c:pt idx="39">
                  <c:v>0.77149999999999996</c:v>
                </c:pt>
                <c:pt idx="40">
                  <c:v>0.79879999999999995</c:v>
                </c:pt>
                <c:pt idx="41">
                  <c:v>0.79820000000000002</c:v>
                </c:pt>
                <c:pt idx="42">
                  <c:v>0.74839999999999995</c:v>
                </c:pt>
                <c:pt idx="43">
                  <c:v>1.0001</c:v>
                </c:pt>
                <c:pt idx="44">
                  <c:v>0.99960000000000004</c:v>
                </c:pt>
                <c:pt idx="45">
                  <c:v>1.0548</c:v>
                </c:pt>
                <c:pt idx="46">
                  <c:v>1.1034999999999999</c:v>
                </c:pt>
                <c:pt idx="47">
                  <c:v>1.1976</c:v>
                </c:pt>
                <c:pt idx="48">
                  <c:v>1.1972</c:v>
                </c:pt>
                <c:pt idx="49">
                  <c:v>1.3483000000000001</c:v>
                </c:pt>
                <c:pt idx="50">
                  <c:v>1.3965000000000001</c:v>
                </c:pt>
                <c:pt idx="51">
                  <c:v>1.4961</c:v>
                </c:pt>
                <c:pt idx="52">
                  <c:v>1.5968</c:v>
                </c:pt>
              </c:numCache>
            </c:numRef>
          </c:xVal>
          <c:yVal>
            <c:numRef>
              <c:f>'ABACO-AL'!$F$6:$F$58</c:f>
              <c:numCache>
                <c:formatCode>General</c:formatCode>
                <c:ptCount val="53"/>
                <c:pt idx="0">
                  <c:v>9.1499999999999998E-2</c:v>
                </c:pt>
                <c:pt idx="1">
                  <c:v>8.8400000000000006E-2</c:v>
                </c:pt>
                <c:pt idx="2">
                  <c:v>0.11899999999999999</c:v>
                </c:pt>
                <c:pt idx="3">
                  <c:v>0.15890000000000001</c:v>
                </c:pt>
                <c:pt idx="4">
                  <c:v>0.17960000000000001</c:v>
                </c:pt>
                <c:pt idx="5">
                  <c:v>0.2203</c:v>
                </c:pt>
                <c:pt idx="6">
                  <c:v>0.2089</c:v>
                </c:pt>
                <c:pt idx="7">
                  <c:v>0.1993</c:v>
                </c:pt>
                <c:pt idx="8">
                  <c:v>0.19400000000000001</c:v>
                </c:pt>
                <c:pt idx="9">
                  <c:v>0.1905</c:v>
                </c:pt>
                <c:pt idx="10">
                  <c:v>0.2107</c:v>
                </c:pt>
                <c:pt idx="11">
                  <c:v>0.2104</c:v>
                </c:pt>
                <c:pt idx="12">
                  <c:v>0.2266</c:v>
                </c:pt>
                <c:pt idx="13">
                  <c:v>0.22939999999999999</c:v>
                </c:pt>
                <c:pt idx="14">
                  <c:v>0.24859999999999999</c:v>
                </c:pt>
                <c:pt idx="15">
                  <c:v>0.31509999999999999</c:v>
                </c:pt>
                <c:pt idx="16">
                  <c:v>0.24210000000000001</c:v>
                </c:pt>
                <c:pt idx="17">
                  <c:v>0.1573</c:v>
                </c:pt>
                <c:pt idx="18">
                  <c:v>0.14430000000000001</c:v>
                </c:pt>
                <c:pt idx="19">
                  <c:v>0.1285</c:v>
                </c:pt>
                <c:pt idx="20">
                  <c:v>0.14219999999999999</c:v>
                </c:pt>
                <c:pt idx="21">
                  <c:v>0.15709999999999999</c:v>
                </c:pt>
                <c:pt idx="22">
                  <c:v>0.14960000000000001</c:v>
                </c:pt>
                <c:pt idx="23">
                  <c:v>0.15670000000000001</c:v>
                </c:pt>
                <c:pt idx="24">
                  <c:v>0.14940000000000001</c:v>
                </c:pt>
                <c:pt idx="25">
                  <c:v>0.1119</c:v>
                </c:pt>
                <c:pt idx="26">
                  <c:v>5.7500000000000002E-2</c:v>
                </c:pt>
                <c:pt idx="27">
                  <c:v>0.161</c:v>
                </c:pt>
                <c:pt idx="28">
                  <c:v>0.17050000000000001</c:v>
                </c:pt>
                <c:pt idx="29">
                  <c:v>0.18310000000000001</c:v>
                </c:pt>
                <c:pt idx="30">
                  <c:v>0.18129999999999999</c:v>
                </c:pt>
                <c:pt idx="31">
                  <c:v>0.19109999999999999</c:v>
                </c:pt>
                <c:pt idx="32">
                  <c:v>0.24829999999999999</c:v>
                </c:pt>
                <c:pt idx="33">
                  <c:v>0.22</c:v>
                </c:pt>
                <c:pt idx="34">
                  <c:v>0.20380000000000001</c:v>
                </c:pt>
                <c:pt idx="35">
                  <c:v>0.18360000000000001</c:v>
                </c:pt>
                <c:pt idx="36">
                  <c:v>0.17199999999999999</c:v>
                </c:pt>
                <c:pt idx="37">
                  <c:v>0.12909999999999999</c:v>
                </c:pt>
                <c:pt idx="38">
                  <c:v>0.1409</c:v>
                </c:pt>
                <c:pt idx="39">
                  <c:v>0.14729999999999999</c:v>
                </c:pt>
                <c:pt idx="40">
                  <c:v>0.14879999999999999</c:v>
                </c:pt>
                <c:pt idx="41">
                  <c:v>0.16439999999999999</c:v>
                </c:pt>
                <c:pt idx="42">
                  <c:v>0.2437</c:v>
                </c:pt>
                <c:pt idx="43">
                  <c:v>0.17169999999999999</c:v>
                </c:pt>
                <c:pt idx="44">
                  <c:v>0.13880000000000001</c:v>
                </c:pt>
                <c:pt idx="45">
                  <c:v>0.1603</c:v>
                </c:pt>
                <c:pt idx="46">
                  <c:v>0.16200000000000001</c:v>
                </c:pt>
                <c:pt idx="47">
                  <c:v>0.1993</c:v>
                </c:pt>
                <c:pt idx="48">
                  <c:v>0.21890000000000001</c:v>
                </c:pt>
                <c:pt idx="49">
                  <c:v>0.2467</c:v>
                </c:pt>
                <c:pt idx="50">
                  <c:v>0.2447</c:v>
                </c:pt>
                <c:pt idx="51">
                  <c:v>0.26889999999999997</c:v>
                </c:pt>
                <c:pt idx="52">
                  <c:v>0.26219999999999999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8B-4B3D-B96F-4BD40167F568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'ABACO-AL'!$G$6:$G$45</c:f>
              <c:numCache>
                <c:formatCode>General</c:formatCode>
                <c:ptCount val="40"/>
                <c:pt idx="0">
                  <c:v>0.25540000000000002</c:v>
                </c:pt>
                <c:pt idx="1">
                  <c:v>0.35670000000000002</c:v>
                </c:pt>
                <c:pt idx="2">
                  <c:v>0.45789999999999997</c:v>
                </c:pt>
                <c:pt idx="3">
                  <c:v>0.61129999999999995</c:v>
                </c:pt>
                <c:pt idx="4">
                  <c:v>0.65849999999999997</c:v>
                </c:pt>
                <c:pt idx="5">
                  <c:v>0.66479999999999995</c:v>
                </c:pt>
                <c:pt idx="6">
                  <c:v>0.7026</c:v>
                </c:pt>
                <c:pt idx="7">
                  <c:v>0.8992</c:v>
                </c:pt>
                <c:pt idx="8">
                  <c:v>1.0526</c:v>
                </c:pt>
                <c:pt idx="9">
                  <c:v>0.40060000000000001</c:v>
                </c:pt>
                <c:pt idx="10">
                  <c:v>0.50680000000000003</c:v>
                </c:pt>
                <c:pt idx="11">
                  <c:v>0.498</c:v>
                </c:pt>
                <c:pt idx="12">
                  <c:v>0.53139999999999998</c:v>
                </c:pt>
                <c:pt idx="13">
                  <c:v>0.55969999999999998</c:v>
                </c:pt>
                <c:pt idx="14">
                  <c:v>0.59430000000000005</c:v>
                </c:pt>
                <c:pt idx="15">
                  <c:v>0.61460000000000004</c:v>
                </c:pt>
                <c:pt idx="16">
                  <c:v>0.7258</c:v>
                </c:pt>
                <c:pt idx="17">
                  <c:v>0.70169999999999999</c:v>
                </c:pt>
                <c:pt idx="18">
                  <c:v>0.81440000000000001</c:v>
                </c:pt>
                <c:pt idx="19">
                  <c:v>1.2962</c:v>
                </c:pt>
                <c:pt idx="20">
                  <c:v>1.6003000000000001</c:v>
                </c:pt>
                <c:pt idx="21">
                  <c:v>1.5995999999999999</c:v>
                </c:pt>
                <c:pt idx="22">
                  <c:v>1.0980000000000001</c:v>
                </c:pt>
                <c:pt idx="23">
                  <c:v>1.1981999999999999</c:v>
                </c:pt>
                <c:pt idx="24">
                  <c:v>0.74650000000000005</c:v>
                </c:pt>
                <c:pt idx="25">
                  <c:v>0.74709999999999999</c:v>
                </c:pt>
                <c:pt idx="26">
                  <c:v>0.92210000000000003</c:v>
                </c:pt>
                <c:pt idx="27">
                  <c:v>0.92459999999999998</c:v>
                </c:pt>
                <c:pt idx="28">
                  <c:v>1.0933999999999999</c:v>
                </c:pt>
                <c:pt idx="29">
                  <c:v>1.1295999999999999</c:v>
                </c:pt>
                <c:pt idx="30">
                  <c:v>1.2059</c:v>
                </c:pt>
                <c:pt idx="31">
                  <c:v>1.2534000000000001</c:v>
                </c:pt>
                <c:pt idx="32">
                  <c:v>1.2228000000000001</c:v>
                </c:pt>
                <c:pt idx="33">
                  <c:v>1.2034</c:v>
                </c:pt>
                <c:pt idx="34">
                  <c:v>1.1609</c:v>
                </c:pt>
                <c:pt idx="35">
                  <c:v>1.099</c:v>
                </c:pt>
                <c:pt idx="36">
                  <c:v>1.1552</c:v>
                </c:pt>
                <c:pt idx="37">
                  <c:v>1.1476999999999999</c:v>
                </c:pt>
                <c:pt idx="38">
                  <c:v>1.1009</c:v>
                </c:pt>
                <c:pt idx="39">
                  <c:v>0.74929999999999997</c:v>
                </c:pt>
              </c:numCache>
            </c:numRef>
          </c:xVal>
          <c:yVal>
            <c:numRef>
              <c:f>'ABACO-AL'!$H$6:$H$45</c:f>
              <c:numCache>
                <c:formatCode>General</c:formatCode>
                <c:ptCount val="40"/>
                <c:pt idx="0">
                  <c:v>1.77E-2</c:v>
                </c:pt>
                <c:pt idx="1">
                  <c:v>3.3300000000000003E-2</c:v>
                </c:pt>
                <c:pt idx="2">
                  <c:v>5.7299999999999997E-2</c:v>
                </c:pt>
                <c:pt idx="3">
                  <c:v>6.88E-2</c:v>
                </c:pt>
                <c:pt idx="4">
                  <c:v>7.2700000000000001E-2</c:v>
                </c:pt>
                <c:pt idx="5">
                  <c:v>0.11840000000000001</c:v>
                </c:pt>
                <c:pt idx="6">
                  <c:v>0.1186</c:v>
                </c:pt>
                <c:pt idx="7">
                  <c:v>9.1700000000000004E-2</c:v>
                </c:pt>
                <c:pt idx="8">
                  <c:v>8.0799999999999997E-2</c:v>
                </c:pt>
                <c:pt idx="9">
                  <c:v>2.7E-2</c:v>
                </c:pt>
                <c:pt idx="10">
                  <c:v>4.4999999999999998E-2</c:v>
                </c:pt>
                <c:pt idx="11">
                  <c:v>5.7500000000000002E-2</c:v>
                </c:pt>
                <c:pt idx="12">
                  <c:v>5.74E-2</c:v>
                </c:pt>
                <c:pt idx="13">
                  <c:v>5.7500000000000002E-2</c:v>
                </c:pt>
                <c:pt idx="14">
                  <c:v>5.74E-2</c:v>
                </c:pt>
                <c:pt idx="15">
                  <c:v>4.48E-2</c:v>
                </c:pt>
                <c:pt idx="16">
                  <c:v>7.3700000000000002E-2</c:v>
                </c:pt>
                <c:pt idx="17">
                  <c:v>8.2699999999999996E-2</c:v>
                </c:pt>
                <c:pt idx="18">
                  <c:v>7.3899999999999993E-2</c:v>
                </c:pt>
                <c:pt idx="19">
                  <c:v>0.12970000000000001</c:v>
                </c:pt>
                <c:pt idx="20">
                  <c:v>0.13100000000000001</c:v>
                </c:pt>
                <c:pt idx="21">
                  <c:v>0.16289999999999999</c:v>
                </c:pt>
                <c:pt idx="22">
                  <c:v>9.9400000000000002E-2</c:v>
                </c:pt>
                <c:pt idx="23">
                  <c:v>0.1109</c:v>
                </c:pt>
                <c:pt idx="24">
                  <c:v>0.12620000000000001</c:v>
                </c:pt>
                <c:pt idx="25">
                  <c:v>0.22939999999999999</c:v>
                </c:pt>
                <c:pt idx="26">
                  <c:v>0.104</c:v>
                </c:pt>
                <c:pt idx="27">
                  <c:v>8.9099999999999999E-2</c:v>
                </c:pt>
                <c:pt idx="28">
                  <c:v>7.5399999999999995E-2</c:v>
                </c:pt>
                <c:pt idx="29">
                  <c:v>7.0199999999999999E-2</c:v>
                </c:pt>
                <c:pt idx="30">
                  <c:v>9.0800000000000006E-2</c:v>
                </c:pt>
                <c:pt idx="31">
                  <c:v>0.10970000000000001</c:v>
                </c:pt>
                <c:pt idx="32">
                  <c:v>0.1229</c:v>
                </c:pt>
                <c:pt idx="33">
                  <c:v>0.13439999999999999</c:v>
                </c:pt>
                <c:pt idx="34">
                  <c:v>0.14030000000000001</c:v>
                </c:pt>
                <c:pt idx="35">
                  <c:v>0.13059999999999999</c:v>
                </c:pt>
                <c:pt idx="36">
                  <c:v>0.1157</c:v>
                </c:pt>
                <c:pt idx="37">
                  <c:v>0.1704</c:v>
                </c:pt>
                <c:pt idx="38">
                  <c:v>0.20100000000000001</c:v>
                </c:pt>
                <c:pt idx="39">
                  <c:v>0.16009999999999999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8B-4B3D-B96F-4BD40167F568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'ABACO-AL'!$K$6:$K$15</c:f>
              <c:numCache>
                <c:formatCode>0.000</c:formatCode>
                <c:ptCount val="10"/>
                <c:pt idx="0">
                  <c:v>2.0009999999999999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'ABACO-AL'!$L$6:$L$15</c:f>
              <c:numCache>
                <c:formatCode>0.000</c:formatCode>
                <c:ptCount val="10"/>
                <c:pt idx="0">
                  <c:v>0.26788178607556729</c:v>
                </c:pt>
                <c:pt idx="1">
                  <c:v>0.26780007457464489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58B-4B3D-B96F-4BD40167F568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'ABACO-AL'!$M$6:$M$15</c:f>
              <c:numCache>
                <c:formatCode>0.000</c:formatCode>
                <c:ptCount val="10"/>
                <c:pt idx="0">
                  <c:v>1.0004999999999999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'ABACO-AL'!$N$6:$N$15</c:f>
              <c:numCache>
                <c:formatCode>0.000</c:formatCode>
                <c:ptCount val="10"/>
                <c:pt idx="0">
                  <c:v>0.17547852590014054</c:v>
                </c:pt>
                <c:pt idx="1">
                  <c:v>0.175425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58B-4B3D-B96F-4BD40167F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106"/>
        <c:axId val="75315535"/>
        <c:extLst/>
      </c:scatterChart>
      <c:valAx>
        <c:axId val="2230106"/>
        <c:scaling>
          <c:orientation val="minMax"/>
          <c:max val="2.5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75315535"/>
        <c:crosses val="autoZero"/>
        <c:crossBetween val="midCat"/>
      </c:valAx>
      <c:valAx>
        <c:axId val="75315535"/>
        <c:scaling>
          <c:orientation val="minMax"/>
          <c:max val="0.35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230106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MC – Marne e Calcari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MC.1–IRS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'ABACO-MC'!$A$6:$A$7</c:f>
              <c:numCache>
                <c:formatCode>General</c:formatCode>
                <c:ptCount val="2"/>
                <c:pt idx="0">
                  <c:v>1.0162</c:v>
                </c:pt>
                <c:pt idx="1">
                  <c:v>7.9931999999999999</c:v>
                </c:pt>
              </c:numCache>
            </c:numRef>
          </c:xVal>
          <c:yVal>
            <c:numRef>
              <c:f>'ABACO-MC'!$B$6:$B$7</c:f>
              <c:numCache>
                <c:formatCode>General</c:formatCode>
                <c:ptCount val="2"/>
                <c:pt idx="0">
                  <c:v>0.1928</c:v>
                </c:pt>
                <c:pt idx="1">
                  <c:v>0.68769999999999998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56-4B5B-859E-8A4D910D8C22}"/>
            </c:ext>
          </c:extLst>
        </c:ser>
        <c:ser>
          <c:idx val="1"/>
          <c:order val="1"/>
          <c:tx>
            <c:v>MC.2–IGU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'ABACO-MC'!$C$6:$C$7</c:f>
              <c:numCache>
                <c:formatCode>General</c:formatCode>
                <c:ptCount val="2"/>
                <c:pt idx="0">
                  <c:v>1.0189999999999999</c:v>
                </c:pt>
                <c:pt idx="1">
                  <c:v>7.9814999999999996</c:v>
                </c:pt>
              </c:numCache>
            </c:numRef>
          </c:xVal>
          <c:yVal>
            <c:numRef>
              <c:f>'ABACO-MC'!$D$6:$D$7</c:f>
              <c:numCache>
                <c:formatCode>General</c:formatCode>
                <c:ptCount val="2"/>
                <c:pt idx="0">
                  <c:v>0.1484</c:v>
                </c:pt>
                <c:pt idx="1">
                  <c:v>0.50060000000000004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56-4B5B-859E-8A4D910D8C22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'ABACO-MC'!$E$6:$E$22</c:f>
              <c:numCache>
                <c:formatCode>General</c:formatCode>
                <c:ptCount val="17"/>
                <c:pt idx="0">
                  <c:v>1.204</c:v>
                </c:pt>
                <c:pt idx="1">
                  <c:v>1.5159</c:v>
                </c:pt>
                <c:pt idx="2">
                  <c:v>1.8716999999999999</c:v>
                </c:pt>
                <c:pt idx="3">
                  <c:v>1.8864000000000001</c:v>
                </c:pt>
                <c:pt idx="4">
                  <c:v>2.0074999999999998</c:v>
                </c:pt>
                <c:pt idx="5">
                  <c:v>1.9451000000000001</c:v>
                </c:pt>
                <c:pt idx="6">
                  <c:v>2.0882000000000001</c:v>
                </c:pt>
                <c:pt idx="7">
                  <c:v>2.0257999999999998</c:v>
                </c:pt>
                <c:pt idx="8">
                  <c:v>2.4916999999999998</c:v>
                </c:pt>
                <c:pt idx="9">
                  <c:v>2.4990000000000001</c:v>
                </c:pt>
                <c:pt idx="10">
                  <c:v>3.0125999999999999</c:v>
                </c:pt>
                <c:pt idx="11">
                  <c:v>3.3134999999999999</c:v>
                </c:pt>
                <c:pt idx="12">
                  <c:v>3.5886</c:v>
                </c:pt>
                <c:pt idx="13">
                  <c:v>3.6802999999999999</c:v>
                </c:pt>
                <c:pt idx="14">
                  <c:v>4.0178000000000003</c:v>
                </c:pt>
                <c:pt idx="15">
                  <c:v>5.0193000000000003</c:v>
                </c:pt>
                <c:pt idx="16">
                  <c:v>6.0098000000000003</c:v>
                </c:pt>
              </c:numCache>
            </c:numRef>
          </c:xVal>
          <c:yVal>
            <c:numRef>
              <c:f>'ABACO-MC'!$F$6:$F$22</c:f>
              <c:numCache>
                <c:formatCode>General</c:formatCode>
                <c:ptCount val="17"/>
                <c:pt idx="0">
                  <c:v>0.2288</c:v>
                </c:pt>
                <c:pt idx="1">
                  <c:v>0.24399999999999999</c:v>
                </c:pt>
                <c:pt idx="2">
                  <c:v>0.29409999999999997</c:v>
                </c:pt>
                <c:pt idx="3">
                  <c:v>0.25209999999999999</c:v>
                </c:pt>
                <c:pt idx="4">
                  <c:v>0.25209999999999999</c:v>
                </c:pt>
                <c:pt idx="5">
                  <c:v>0.22339999999999999</c:v>
                </c:pt>
                <c:pt idx="6">
                  <c:v>0.22520000000000001</c:v>
                </c:pt>
                <c:pt idx="7">
                  <c:v>0.29680000000000001</c:v>
                </c:pt>
                <c:pt idx="8">
                  <c:v>0.24399999999999999</c:v>
                </c:pt>
                <c:pt idx="9">
                  <c:v>0.19570000000000001</c:v>
                </c:pt>
                <c:pt idx="10">
                  <c:v>0.29499999999999998</c:v>
                </c:pt>
                <c:pt idx="11">
                  <c:v>0.29859999999999998</c:v>
                </c:pt>
                <c:pt idx="12">
                  <c:v>0.30220000000000002</c:v>
                </c:pt>
                <c:pt idx="13">
                  <c:v>0.3004</c:v>
                </c:pt>
                <c:pt idx="14">
                  <c:v>0.43109999999999998</c:v>
                </c:pt>
                <c:pt idx="15">
                  <c:v>0.432</c:v>
                </c:pt>
                <c:pt idx="16">
                  <c:v>0.44450000000000001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56-4B5B-859E-8A4D910D8C22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'ABACO-MC'!$G$6:$G$8</c:f>
              <c:numCache>
                <c:formatCode>General</c:formatCode>
                <c:ptCount val="3"/>
                <c:pt idx="0">
                  <c:v>3.5346000000000002</c:v>
                </c:pt>
                <c:pt idx="1">
                  <c:v>5.4132999999999996</c:v>
                </c:pt>
                <c:pt idx="2">
                  <c:v>5.6273999999999997</c:v>
                </c:pt>
              </c:numCache>
            </c:numRef>
          </c:xVal>
          <c:yVal>
            <c:numRef>
              <c:f>'ABACO-MC'!$H$6:$H$8</c:f>
              <c:numCache>
                <c:formatCode>General</c:formatCode>
                <c:ptCount val="3"/>
                <c:pt idx="0">
                  <c:v>0.44169999999999998</c:v>
                </c:pt>
                <c:pt idx="1">
                  <c:v>0.36430000000000001</c:v>
                </c:pt>
                <c:pt idx="2">
                  <c:v>0.3634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56-4B5B-859E-8A4D910D8C22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'ABACO-MC'!$K$6:$K$15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0.47538305960727051</c:v>
                </c:pt>
                <c:pt idx="5">
                  <c:v>0.47538305960727051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56-4B5B-859E-8A4D910D8C22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'ABACO-MC'!$M$6:$M$15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</c:v>
                </c:pt>
                <c:pt idx="5">
                  <c:v>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'ABACO-MC'!$N$6:$N$15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0.54632590127568592</c:v>
                </c:pt>
                <c:pt idx="5">
                  <c:v>0.4044402179388551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356-4B5B-859E-8A4D910D8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92964"/>
        <c:axId val="25649072"/>
      </c:scatterChart>
      <c:valAx>
        <c:axId val="52092964"/>
        <c:scaling>
          <c:orientation val="minMax"/>
          <c:max val="8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25649072"/>
        <c:crosses val="autoZero"/>
        <c:crossBetween val="midCat"/>
      </c:valAx>
      <c:valAx>
        <c:axId val="25649072"/>
        <c:scaling>
          <c:orientation val="minMax"/>
          <c:max val="0.8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52092964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it-IT" sz="1800" b="1" strike="noStrike" spc="-1">
                <a:solidFill>
                  <a:srgbClr val="000000"/>
                </a:solidFill>
                <a:latin typeface="Calibri"/>
              </a:rPr>
              <a:t>Abaco RA – Rocce Alterate  (Bustamante–Doix, 1985)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R.1–IRS</c:v>
          </c:tx>
          <c:spPr>
            <a:ln w="20160">
              <a:solidFill>
                <a:srgbClr val="1F4E7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'ABACO-RA'!$A$6:$A$7</c:f>
              <c:numCache>
                <c:formatCode>General</c:formatCode>
                <c:ptCount val="2"/>
                <c:pt idx="0">
                  <c:v>1.419</c:v>
                </c:pt>
                <c:pt idx="1">
                  <c:v>8.1671999999999993</c:v>
                </c:pt>
              </c:numCache>
            </c:numRef>
          </c:xVal>
          <c:yVal>
            <c:numRef>
              <c:f>'ABACO-RA'!$B$6:$B$7</c:f>
              <c:numCache>
                <c:formatCode>General</c:formatCode>
                <c:ptCount val="2"/>
                <c:pt idx="0">
                  <c:v>0.21529999999999999</c:v>
                </c:pt>
                <c:pt idx="1">
                  <c:v>1.0842000000000001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E1-439C-B204-2CFD1A95B235}"/>
            </c:ext>
          </c:extLst>
        </c:ser>
        <c:ser>
          <c:idx val="1"/>
          <c:order val="1"/>
          <c:tx>
            <c:v>R.2–IGU</c:v>
          </c:tx>
          <c:spPr>
            <a:ln w="20160">
              <a:solidFill>
                <a:srgbClr val="C65911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'ABACO-RA'!$C$6:$C$7</c:f>
              <c:numCache>
                <c:formatCode>General</c:formatCode>
                <c:ptCount val="2"/>
                <c:pt idx="0">
                  <c:v>8.1671999999999993</c:v>
                </c:pt>
                <c:pt idx="1">
                  <c:v>1.417</c:v>
                </c:pt>
              </c:numCache>
            </c:numRef>
          </c:xVal>
          <c:yVal>
            <c:numRef>
              <c:f>'ABACO-RA'!$D$6:$D$7</c:f>
              <c:numCache>
                <c:formatCode>General</c:formatCode>
                <c:ptCount val="2"/>
                <c:pt idx="0">
                  <c:v>0.88080000000000003</c:v>
                </c:pt>
                <c:pt idx="1">
                  <c:v>0.17760000000000001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E1-439C-B204-2CFD1A95B235}"/>
            </c:ext>
          </c:extLst>
        </c:ser>
        <c:ser>
          <c:idx val="2"/>
          <c:order val="2"/>
          <c:tx>
            <c:v>IRS</c:v>
          </c:tx>
          <c:spPr>
            <a:ln w="47520">
              <a:noFill/>
            </a:ln>
          </c:spPr>
          <c:marker>
            <c:symbol val="circle"/>
            <c:size val="6"/>
            <c:spPr>
              <a:solidFill>
                <a:schemeClr val="bg1">
                  <a:lumMod val="8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'ABACO-RA'!$E$6:$E$24</c:f>
              <c:numCache>
                <c:formatCode>General</c:formatCode>
                <c:ptCount val="19"/>
                <c:pt idx="0">
                  <c:v>5.1247999999999996</c:v>
                </c:pt>
                <c:pt idx="1">
                  <c:v>4.8102</c:v>
                </c:pt>
                <c:pt idx="2">
                  <c:v>4.8071000000000002</c:v>
                </c:pt>
                <c:pt idx="3">
                  <c:v>5.0065</c:v>
                </c:pt>
                <c:pt idx="4">
                  <c:v>5.0095999999999998</c:v>
                </c:pt>
                <c:pt idx="5">
                  <c:v>5.0126999999999997</c:v>
                </c:pt>
                <c:pt idx="6">
                  <c:v>5.0126999999999997</c:v>
                </c:pt>
                <c:pt idx="7">
                  <c:v>5.1403999999999996</c:v>
                </c:pt>
                <c:pt idx="8">
                  <c:v>5.2058</c:v>
                </c:pt>
                <c:pt idx="9">
                  <c:v>5.2058</c:v>
                </c:pt>
                <c:pt idx="10">
                  <c:v>6.0218999999999996</c:v>
                </c:pt>
                <c:pt idx="11">
                  <c:v>6.1962999999999999</c:v>
                </c:pt>
                <c:pt idx="12">
                  <c:v>6.1121999999999996</c:v>
                </c:pt>
                <c:pt idx="13">
                  <c:v>6.5358999999999998</c:v>
                </c:pt>
                <c:pt idx="14">
                  <c:v>6.6136999999999997</c:v>
                </c:pt>
                <c:pt idx="15">
                  <c:v>7.0124000000000004</c:v>
                </c:pt>
                <c:pt idx="16">
                  <c:v>7.0124000000000004</c:v>
                </c:pt>
                <c:pt idx="17">
                  <c:v>7.9931000000000001</c:v>
                </c:pt>
                <c:pt idx="18">
                  <c:v>9.9528999999999996</c:v>
                </c:pt>
              </c:numCache>
            </c:numRef>
          </c:xVal>
          <c:yVal>
            <c:numRef>
              <c:f>'ABACO-RA'!$F$6:$F$24</c:f>
              <c:numCache>
                <c:formatCode>General</c:formatCode>
                <c:ptCount val="19"/>
                <c:pt idx="0">
                  <c:v>0.79359999999999997</c:v>
                </c:pt>
                <c:pt idx="1">
                  <c:v>0.64070000000000005</c:v>
                </c:pt>
                <c:pt idx="2">
                  <c:v>0.59179999999999999</c:v>
                </c:pt>
                <c:pt idx="3">
                  <c:v>0.64229999999999998</c:v>
                </c:pt>
                <c:pt idx="4">
                  <c:v>0.59409999999999996</c:v>
                </c:pt>
                <c:pt idx="5">
                  <c:v>0.52759999999999996</c:v>
                </c:pt>
                <c:pt idx="6">
                  <c:v>0.42970000000000003</c:v>
                </c:pt>
                <c:pt idx="7">
                  <c:v>0.44119999999999998</c:v>
                </c:pt>
                <c:pt idx="8">
                  <c:v>0.59260000000000002</c:v>
                </c:pt>
                <c:pt idx="9">
                  <c:v>0.64070000000000005</c:v>
                </c:pt>
                <c:pt idx="10">
                  <c:v>0.78979999999999995</c:v>
                </c:pt>
                <c:pt idx="11">
                  <c:v>0.7661</c:v>
                </c:pt>
                <c:pt idx="12">
                  <c:v>0.50309999999999999</c:v>
                </c:pt>
                <c:pt idx="13">
                  <c:v>0.47939999999999999</c:v>
                </c:pt>
                <c:pt idx="14">
                  <c:v>0.54749999999999999</c:v>
                </c:pt>
                <c:pt idx="15">
                  <c:v>0.4985</c:v>
                </c:pt>
                <c:pt idx="16">
                  <c:v>0.4466</c:v>
                </c:pt>
                <c:pt idx="17">
                  <c:v>1.1836</c:v>
                </c:pt>
                <c:pt idx="18">
                  <c:v>0.222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E1-439C-B204-2CFD1A95B235}"/>
            </c:ext>
          </c:extLst>
        </c:ser>
        <c:ser>
          <c:idx val="3"/>
          <c:order val="3"/>
          <c:tx>
            <c:v>IGU</c:v>
          </c:tx>
          <c:spPr>
            <a:ln w="47520">
              <a:noFill/>
            </a:ln>
          </c:spPr>
          <c:marker>
            <c:symbol val="triangle"/>
            <c:size val="5"/>
            <c:spPr>
              <a:solidFill>
                <a:schemeClr val="bg1">
                  <a:lumMod val="95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it-IT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'ABACO-RA'!$G$6:$G$15</c:f>
              <c:numCache>
                <c:formatCode>General</c:formatCode>
                <c:ptCount val="10"/>
                <c:pt idx="0">
                  <c:v>2.4765999999999999</c:v>
                </c:pt>
                <c:pt idx="1">
                  <c:v>2.7067999999999999</c:v>
                </c:pt>
                <c:pt idx="2">
                  <c:v>2.6938</c:v>
                </c:pt>
                <c:pt idx="3">
                  <c:v>2.7035</c:v>
                </c:pt>
                <c:pt idx="4">
                  <c:v>3.4944000000000002</c:v>
                </c:pt>
                <c:pt idx="5">
                  <c:v>4.0810000000000004</c:v>
                </c:pt>
                <c:pt idx="6">
                  <c:v>4.6158000000000001</c:v>
                </c:pt>
                <c:pt idx="7">
                  <c:v>5.0111999999999997</c:v>
                </c:pt>
                <c:pt idx="8">
                  <c:v>3.4878999999999998</c:v>
                </c:pt>
                <c:pt idx="9">
                  <c:v>3.4944000000000002</c:v>
                </c:pt>
              </c:numCache>
            </c:numRef>
          </c:xVal>
          <c:yVal>
            <c:numRef>
              <c:f>'ABACO-RA'!$H$6:$H$15</c:f>
              <c:numCache>
                <c:formatCode>General</c:formatCode>
                <c:ptCount val="10"/>
                <c:pt idx="0">
                  <c:v>0.26519999999999999</c:v>
                </c:pt>
                <c:pt idx="1">
                  <c:v>0.25330000000000003</c:v>
                </c:pt>
                <c:pt idx="2">
                  <c:v>0.17610000000000001</c:v>
                </c:pt>
                <c:pt idx="3">
                  <c:v>0.13</c:v>
                </c:pt>
                <c:pt idx="4">
                  <c:v>0.11890000000000001</c:v>
                </c:pt>
                <c:pt idx="5">
                  <c:v>0.126</c:v>
                </c:pt>
                <c:pt idx="6">
                  <c:v>0.1467</c:v>
                </c:pt>
                <c:pt idx="7">
                  <c:v>0.56910000000000005</c:v>
                </c:pt>
                <c:pt idx="8">
                  <c:v>0.42670000000000002</c:v>
                </c:pt>
                <c:pt idx="9">
                  <c:v>0.56910000000000005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E1-439C-B204-2CFD1A95B235}"/>
            </c:ext>
          </c:extLst>
        </c:ser>
        <c:ser>
          <c:idx val="4"/>
          <c:order val="4"/>
          <c:tx>
            <c:v>q,med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chemeClr val="bg1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'ABACO-RA'!$K$6:$K$15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2.5</c:v>
                </c:pt>
                <c:pt idx="7">
                  <c:v>3.5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'ABACO-RA'!$L$6:$L$15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0.3544544088067989</c:v>
                </c:pt>
                <c:pt idx="7">
                  <c:v>0.48321706743369969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E1-439C-B204-2CFD1A95B235}"/>
            </c:ext>
          </c:extLst>
        </c:ser>
        <c:ser>
          <c:idx val="5"/>
          <c:order val="5"/>
          <c:tx>
            <c:v>q,min</c:v>
          </c:tx>
          <c:spPr>
            <a:ln w="20160">
              <a:noFill/>
              <a:round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noFill/>
              </a:ln>
            </c:spPr>
          </c:marker>
          <c:xVal>
            <c:numRef>
              <c:f>'ABACO-RA'!$M$6:$M$15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</c:v>
                </c:pt>
                <c:pt idx="7">
                  <c:v>3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'ABACO-RA'!$N$6:$N$15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0.29007307949334854</c:v>
                </c:pt>
                <c:pt idx="7">
                  <c:v>0.41883573812024932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5E1-439C-B204-2CFD1A95B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4710"/>
        <c:axId val="91314658"/>
      </c:scatterChart>
      <c:valAx>
        <c:axId val="9644710"/>
        <c:scaling>
          <c:orientation val="minMax"/>
          <c:max val="10"/>
          <c:min val="0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pₗ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1314658"/>
        <c:crosses val="autoZero"/>
        <c:crossBetween val="midCat"/>
      </c:valAx>
      <c:valAx>
        <c:axId val="91314658"/>
        <c:scaling>
          <c:orientation val="minMax"/>
          <c:max val="1.2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it-IT" sz="1000" b="1" strike="noStrike" spc="-1">
                    <a:solidFill>
                      <a:srgbClr val="000000"/>
                    </a:solidFill>
                    <a:latin typeface="Calibri"/>
                  </a:rPr>
                  <a:t>qₛ (MPa)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it-IT"/>
          </a:p>
        </c:txPr>
        <c:crossAx val="9644710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F0404A-4E0F-4985-AA78-8B3D9CAB3EDC}">
  <sheetPr codeName="Grafico1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B2F78E-B215-4545-9BCC-767074AB79FD}">
  <sheetPr codeName="Grafico2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CB1968-6846-4250-8271-45FE9B735EBD}">
  <sheetPr codeName="Grafico3"/>
  <sheetViews>
    <sheetView zoomScale="111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D24D2D-1459-4D83-BCD4-271C669F27EB}">
  <sheetPr codeName="Grafico4"/>
  <sheetViews>
    <sheetView workbookViewId="0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51E75F2-EBE7-0DDC-2B32-477AF4F2BE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AAEF6BA-DDEE-E04C-8400-300312FC86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311" cy="6066824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E61FB4B-F9D0-61AB-E8B4-87A3EB16E2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7924" cy="6071616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D3CF318-C43C-0EFA-F155-C0561DE9BA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FraJoMen/franciscojmendez_Risorse/tree/main/articolo_04_micropali" TargetMode="External"/><Relationship Id="rId2" Type="http://schemas.openxmlformats.org/officeDocument/2006/relationships/hyperlink" Target="http://www.franciscojmendez.com/" TargetMode="External"/><Relationship Id="rId1" Type="http://schemas.openxmlformats.org/officeDocument/2006/relationships/hyperlink" Target="https://www.franciscojmendez.com/il-metodo-bustamante-doix-per-il-calcolo-dei-micropali/" TargetMode="Externa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10"/>
  <sheetViews>
    <sheetView zoomScaleNormal="100" workbookViewId="0"/>
  </sheetViews>
  <sheetFormatPr defaultColWidth="8.7109375" defaultRowHeight="15" x14ac:dyDescent="0.25"/>
  <cols>
    <col min="1" max="1" width="10" customWidth="1"/>
    <col min="2" max="2" width="8" customWidth="1"/>
    <col min="3" max="4" width="12" customWidth="1"/>
  </cols>
  <sheetData>
    <row r="1" spans="1:4" ht="1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5" customHeight="1" x14ac:dyDescent="0.25">
      <c r="A2" t="s">
        <v>4</v>
      </c>
      <c r="B2" t="s">
        <v>5</v>
      </c>
      <c r="C2">
        <v>0.25440000000000002</v>
      </c>
      <c r="D2">
        <v>7.8100000000000003E-2</v>
      </c>
    </row>
    <row r="3" spans="1:4" ht="15" customHeight="1" x14ac:dyDescent="0.25">
      <c r="A3" t="s">
        <v>4</v>
      </c>
      <c r="B3" t="s">
        <v>5</v>
      </c>
      <c r="C3">
        <v>6.8914999999999997</v>
      </c>
      <c r="D3">
        <v>0.83420000000000005</v>
      </c>
    </row>
    <row r="4" spans="1:4" ht="15" customHeight="1" x14ac:dyDescent="0.25">
      <c r="A4" t="s">
        <v>4</v>
      </c>
      <c r="B4" t="s">
        <v>6</v>
      </c>
      <c r="C4">
        <v>0.251</v>
      </c>
      <c r="D4">
        <v>2.41E-2</v>
      </c>
    </row>
    <row r="5" spans="1:4" ht="15" customHeight="1" x14ac:dyDescent="0.25">
      <c r="A5" t="s">
        <v>4</v>
      </c>
      <c r="B5" t="s">
        <v>6</v>
      </c>
      <c r="C5">
        <v>6.9557000000000002</v>
      </c>
      <c r="D5">
        <v>0.78649999999999998</v>
      </c>
    </row>
    <row r="6" spans="1:4" ht="15" customHeight="1" x14ac:dyDescent="0.25">
      <c r="A6" t="s">
        <v>7</v>
      </c>
      <c r="B6" t="s">
        <v>5</v>
      </c>
      <c r="C6">
        <v>0.1</v>
      </c>
      <c r="D6">
        <v>4.3032000000000001E-2</v>
      </c>
    </row>
    <row r="7" spans="1:4" ht="15" customHeight="1" x14ac:dyDescent="0.25">
      <c r="A7" t="s">
        <v>7</v>
      </c>
      <c r="B7" t="s">
        <v>5</v>
      </c>
      <c r="C7">
        <v>0.2263</v>
      </c>
      <c r="D7">
        <v>7.0838999999999999E-2</v>
      </c>
    </row>
    <row r="8" spans="1:4" ht="15" customHeight="1" x14ac:dyDescent="0.25">
      <c r="A8" t="s">
        <v>7</v>
      </c>
      <c r="B8" t="s">
        <v>5</v>
      </c>
      <c r="C8">
        <v>0.35260000000000002</v>
      </c>
      <c r="D8">
        <v>9.2857999999999996E-2</v>
      </c>
    </row>
    <row r="9" spans="1:4" ht="15" customHeight="1" x14ac:dyDescent="0.25">
      <c r="A9" t="s">
        <v>7</v>
      </c>
      <c r="B9" t="s">
        <v>5</v>
      </c>
      <c r="C9">
        <v>0.47889999999999999</v>
      </c>
      <c r="D9">
        <v>0.11193599999999999</v>
      </c>
    </row>
    <row r="10" spans="1:4" ht="15" customHeight="1" x14ac:dyDescent="0.25">
      <c r="A10" t="s">
        <v>7</v>
      </c>
      <c r="B10" t="s">
        <v>5</v>
      </c>
      <c r="C10">
        <v>0.60529999999999995</v>
      </c>
      <c r="D10">
        <v>0.12912499999999999</v>
      </c>
    </row>
    <row r="11" spans="1:4" ht="15" customHeight="1" x14ac:dyDescent="0.25">
      <c r="A11" t="s">
        <v>7</v>
      </c>
      <c r="B11" t="s">
        <v>5</v>
      </c>
      <c r="C11">
        <v>0.73160000000000003</v>
      </c>
      <c r="D11">
        <v>0.14496100000000001</v>
      </c>
    </row>
    <row r="12" spans="1:4" ht="15" customHeight="1" x14ac:dyDescent="0.25">
      <c r="A12" t="s">
        <v>7</v>
      </c>
      <c r="B12" t="s">
        <v>5</v>
      </c>
      <c r="C12">
        <v>0.8579</v>
      </c>
      <c r="D12">
        <v>0.15975900000000001</v>
      </c>
    </row>
    <row r="13" spans="1:4" ht="15" customHeight="1" x14ac:dyDescent="0.25">
      <c r="A13" t="s">
        <v>7</v>
      </c>
      <c r="B13" t="s">
        <v>5</v>
      </c>
      <c r="C13">
        <v>0.98419999999999996</v>
      </c>
      <c r="D13">
        <v>0.17372899999999999</v>
      </c>
    </row>
    <row r="14" spans="1:4" ht="15" customHeight="1" x14ac:dyDescent="0.25">
      <c r="A14" t="s">
        <v>7</v>
      </c>
      <c r="B14" t="s">
        <v>5</v>
      </c>
      <c r="C14">
        <v>1.1105</v>
      </c>
      <c r="D14">
        <v>0.18701599999999999</v>
      </c>
    </row>
    <row r="15" spans="1:4" ht="15" customHeight="1" x14ac:dyDescent="0.25">
      <c r="A15" t="s">
        <v>7</v>
      </c>
      <c r="B15" t="s">
        <v>5</v>
      </c>
      <c r="C15">
        <v>1.2367999999999999</v>
      </c>
      <c r="D15">
        <v>0.19972400000000001</v>
      </c>
    </row>
    <row r="16" spans="1:4" ht="15" customHeight="1" x14ac:dyDescent="0.25">
      <c r="A16" t="s">
        <v>7</v>
      </c>
      <c r="B16" t="s">
        <v>5</v>
      </c>
      <c r="C16">
        <v>1.3632</v>
      </c>
      <c r="D16">
        <v>0.21193600000000001</v>
      </c>
    </row>
    <row r="17" spans="1:4" ht="15" customHeight="1" x14ac:dyDescent="0.25">
      <c r="A17" t="s">
        <v>7</v>
      </c>
      <c r="B17" t="s">
        <v>5</v>
      </c>
      <c r="C17">
        <v>1.4895</v>
      </c>
      <c r="D17">
        <v>0.223714</v>
      </c>
    </row>
    <row r="18" spans="1:4" ht="15" customHeight="1" x14ac:dyDescent="0.25">
      <c r="A18" t="s">
        <v>7</v>
      </c>
      <c r="B18" t="s">
        <v>5</v>
      </c>
      <c r="C18">
        <v>1.6157999999999999</v>
      </c>
      <c r="D18">
        <v>0.23510900000000001</v>
      </c>
    </row>
    <row r="19" spans="1:4" ht="15" customHeight="1" x14ac:dyDescent="0.25">
      <c r="A19" t="s">
        <v>7</v>
      </c>
      <c r="B19" t="s">
        <v>5</v>
      </c>
      <c r="C19">
        <v>1.7421</v>
      </c>
      <c r="D19">
        <v>0.24616099999999999</v>
      </c>
    </row>
    <row r="20" spans="1:4" ht="15" customHeight="1" x14ac:dyDescent="0.25">
      <c r="A20" t="s">
        <v>7</v>
      </c>
      <c r="B20" t="s">
        <v>5</v>
      </c>
      <c r="C20">
        <v>1.8684000000000001</v>
      </c>
      <c r="D20">
        <v>0.25690499999999999</v>
      </c>
    </row>
    <row r="21" spans="1:4" ht="15" customHeight="1" x14ac:dyDescent="0.25">
      <c r="A21" t="s">
        <v>7</v>
      </c>
      <c r="B21" t="s">
        <v>5</v>
      </c>
      <c r="C21">
        <v>1.9946999999999999</v>
      </c>
      <c r="D21">
        <v>0.26737</v>
      </c>
    </row>
    <row r="22" spans="1:4" ht="15" customHeight="1" x14ac:dyDescent="0.25">
      <c r="A22" t="s">
        <v>7</v>
      </c>
      <c r="B22" t="s">
        <v>5</v>
      </c>
      <c r="C22">
        <v>2.1211000000000002</v>
      </c>
      <c r="D22">
        <v>0.27757900000000002</v>
      </c>
    </row>
    <row r="23" spans="1:4" ht="15" customHeight="1" x14ac:dyDescent="0.25">
      <c r="A23" t="s">
        <v>7</v>
      </c>
      <c r="B23" t="s">
        <v>5</v>
      </c>
      <c r="C23">
        <v>2.2473999999999998</v>
      </c>
      <c r="D23">
        <v>0.28755399999999998</v>
      </c>
    </row>
    <row r="24" spans="1:4" ht="15" customHeight="1" x14ac:dyDescent="0.25">
      <c r="A24" t="s">
        <v>7</v>
      </c>
      <c r="B24" t="s">
        <v>5</v>
      </c>
      <c r="C24">
        <v>2.3736999999999999</v>
      </c>
      <c r="D24">
        <v>0.29731200000000002</v>
      </c>
    </row>
    <row r="25" spans="1:4" ht="15" customHeight="1" x14ac:dyDescent="0.25">
      <c r="A25" t="s">
        <v>7</v>
      </c>
      <c r="B25" t="s">
        <v>5</v>
      </c>
      <c r="C25">
        <v>2.5</v>
      </c>
      <c r="D25">
        <v>0.30686999999999998</v>
      </c>
    </row>
    <row r="26" spans="1:4" ht="15" customHeight="1" x14ac:dyDescent="0.25">
      <c r="A26" t="s">
        <v>7</v>
      </c>
      <c r="B26" t="s">
        <v>6</v>
      </c>
      <c r="C26">
        <v>0.1</v>
      </c>
      <c r="D26">
        <v>2.3973999999999999E-2</v>
      </c>
    </row>
    <row r="27" spans="1:4" ht="15" customHeight="1" x14ac:dyDescent="0.25">
      <c r="A27" t="s">
        <v>7</v>
      </c>
      <c r="B27" t="s">
        <v>6</v>
      </c>
      <c r="C27">
        <v>0.2263</v>
      </c>
      <c r="D27">
        <v>3.9698999999999998E-2</v>
      </c>
    </row>
    <row r="28" spans="1:4" ht="15" customHeight="1" x14ac:dyDescent="0.25">
      <c r="A28" t="s">
        <v>7</v>
      </c>
      <c r="B28" t="s">
        <v>6</v>
      </c>
      <c r="C28">
        <v>0.35260000000000002</v>
      </c>
      <c r="D28">
        <v>5.2205000000000001E-2</v>
      </c>
    </row>
    <row r="29" spans="1:4" ht="15" customHeight="1" x14ac:dyDescent="0.25">
      <c r="A29" t="s">
        <v>7</v>
      </c>
      <c r="B29" t="s">
        <v>6</v>
      </c>
      <c r="C29">
        <v>0.47889999999999999</v>
      </c>
      <c r="D29">
        <v>6.3070000000000001E-2</v>
      </c>
    </row>
    <row r="30" spans="1:4" ht="15" customHeight="1" x14ac:dyDescent="0.25">
      <c r="A30" t="s">
        <v>7</v>
      </c>
      <c r="B30" t="s">
        <v>6</v>
      </c>
      <c r="C30">
        <v>0.60529999999999995</v>
      </c>
      <c r="D30">
        <v>7.2877999999999998E-2</v>
      </c>
    </row>
    <row r="31" spans="1:4" ht="15" customHeight="1" x14ac:dyDescent="0.25">
      <c r="A31" t="s">
        <v>7</v>
      </c>
      <c r="B31" t="s">
        <v>6</v>
      </c>
      <c r="C31">
        <v>0.73160000000000003</v>
      </c>
      <c r="D31">
        <v>8.1925999999999999E-2</v>
      </c>
    </row>
    <row r="32" spans="1:4" ht="15" customHeight="1" x14ac:dyDescent="0.25">
      <c r="A32" t="s">
        <v>7</v>
      </c>
      <c r="B32" t="s">
        <v>6</v>
      </c>
      <c r="C32">
        <v>0.8579</v>
      </c>
      <c r="D32">
        <v>9.0394000000000002E-2</v>
      </c>
    </row>
    <row r="33" spans="1:4" ht="15" customHeight="1" x14ac:dyDescent="0.25">
      <c r="A33" t="s">
        <v>7</v>
      </c>
      <c r="B33" t="s">
        <v>6</v>
      </c>
      <c r="C33">
        <v>0.98419999999999996</v>
      </c>
      <c r="D33">
        <v>9.8394999999999996E-2</v>
      </c>
    </row>
    <row r="34" spans="1:4" ht="15" customHeight="1" x14ac:dyDescent="0.25">
      <c r="A34" t="s">
        <v>7</v>
      </c>
      <c r="B34" t="s">
        <v>6</v>
      </c>
      <c r="C34">
        <v>1.1105</v>
      </c>
      <c r="D34">
        <v>0.106012</v>
      </c>
    </row>
    <row r="35" spans="1:4" ht="15" customHeight="1" x14ac:dyDescent="0.25">
      <c r="A35" t="s">
        <v>7</v>
      </c>
      <c r="B35" t="s">
        <v>6</v>
      </c>
      <c r="C35">
        <v>1.2367999999999999</v>
      </c>
      <c r="D35">
        <v>0.113304</v>
      </c>
    </row>
    <row r="36" spans="1:4" ht="15" customHeight="1" x14ac:dyDescent="0.25">
      <c r="A36" t="s">
        <v>7</v>
      </c>
      <c r="B36" t="s">
        <v>6</v>
      </c>
      <c r="C36">
        <v>1.3632</v>
      </c>
      <c r="D36">
        <v>0.12031600000000001</v>
      </c>
    </row>
    <row r="37" spans="1:4" ht="15" customHeight="1" x14ac:dyDescent="0.25">
      <c r="A37" t="s">
        <v>7</v>
      </c>
      <c r="B37" t="s">
        <v>6</v>
      </c>
      <c r="C37">
        <v>1.4895</v>
      </c>
      <c r="D37">
        <v>0.127083</v>
      </c>
    </row>
    <row r="38" spans="1:4" ht="15" customHeight="1" x14ac:dyDescent="0.25">
      <c r="A38" t="s">
        <v>7</v>
      </c>
      <c r="B38" t="s">
        <v>6</v>
      </c>
      <c r="C38">
        <v>1.6157999999999999</v>
      </c>
      <c r="D38">
        <v>0.133634</v>
      </c>
    </row>
    <row r="39" spans="1:4" ht="15" customHeight="1" x14ac:dyDescent="0.25">
      <c r="A39" t="s">
        <v>7</v>
      </c>
      <c r="B39" t="s">
        <v>6</v>
      </c>
      <c r="C39">
        <v>1.7421</v>
      </c>
      <c r="D39">
        <v>0.13999200000000001</v>
      </c>
    </row>
    <row r="40" spans="1:4" ht="15" customHeight="1" x14ac:dyDescent="0.25">
      <c r="A40" t="s">
        <v>7</v>
      </c>
      <c r="B40" t="s">
        <v>6</v>
      </c>
      <c r="C40">
        <v>1.8684000000000001</v>
      </c>
      <c r="D40">
        <v>0.146176</v>
      </c>
    </row>
    <row r="41" spans="1:4" ht="15" customHeight="1" x14ac:dyDescent="0.25">
      <c r="A41" t="s">
        <v>7</v>
      </c>
      <c r="B41" t="s">
        <v>6</v>
      </c>
      <c r="C41">
        <v>1.9946999999999999</v>
      </c>
      <c r="D41">
        <v>0.152202</v>
      </c>
    </row>
    <row r="42" spans="1:4" ht="15" customHeight="1" x14ac:dyDescent="0.25">
      <c r="A42" t="s">
        <v>7</v>
      </c>
      <c r="B42" t="s">
        <v>6</v>
      </c>
      <c r="C42">
        <v>2.1211000000000002</v>
      </c>
      <c r="D42">
        <v>0.158083</v>
      </c>
    </row>
    <row r="43" spans="1:4" ht="15" customHeight="1" x14ac:dyDescent="0.25">
      <c r="A43" t="s">
        <v>7</v>
      </c>
      <c r="B43" t="s">
        <v>6</v>
      </c>
      <c r="C43">
        <v>2.2473999999999998</v>
      </c>
      <c r="D43">
        <v>0.16383200000000001</v>
      </c>
    </row>
    <row r="44" spans="1:4" ht="15" customHeight="1" x14ac:dyDescent="0.25">
      <c r="A44" t="s">
        <v>7</v>
      </c>
      <c r="B44" t="s">
        <v>6</v>
      </c>
      <c r="C44">
        <v>2.3736999999999999</v>
      </c>
      <c r="D44">
        <v>0.169459</v>
      </c>
    </row>
    <row r="45" spans="1:4" ht="15" customHeight="1" x14ac:dyDescent="0.25">
      <c r="A45" t="s">
        <v>7</v>
      </c>
      <c r="B45" t="s">
        <v>6</v>
      </c>
      <c r="C45">
        <v>2.5</v>
      </c>
      <c r="D45">
        <v>0.17497199999999999</v>
      </c>
    </row>
    <row r="46" spans="1:4" ht="15" customHeight="1" x14ac:dyDescent="0.25">
      <c r="A46" t="s">
        <v>8</v>
      </c>
      <c r="B46" t="s">
        <v>5</v>
      </c>
      <c r="C46">
        <v>1.01617489560261</v>
      </c>
      <c r="D46">
        <v>0.192759185991348</v>
      </c>
    </row>
    <row r="47" spans="1:4" ht="15" customHeight="1" x14ac:dyDescent="0.25">
      <c r="A47" t="s">
        <v>8</v>
      </c>
      <c r="B47" t="s">
        <v>5</v>
      </c>
      <c r="C47">
        <v>7.9932241458708901</v>
      </c>
      <c r="D47">
        <v>0.68773088626586698</v>
      </c>
    </row>
    <row r="48" spans="1:4" ht="15" customHeight="1" x14ac:dyDescent="0.25">
      <c r="A48" t="s">
        <v>8</v>
      </c>
      <c r="B48" t="s">
        <v>6</v>
      </c>
      <c r="C48">
        <v>1.0190370065942</v>
      </c>
      <c r="D48">
        <v>0.14842131233498301</v>
      </c>
    </row>
    <row r="49" spans="1:4" ht="15" customHeight="1" x14ac:dyDescent="0.25">
      <c r="A49" t="s">
        <v>8</v>
      </c>
      <c r="B49" t="s">
        <v>6</v>
      </c>
      <c r="C49">
        <v>7.9814810728318397</v>
      </c>
      <c r="D49">
        <v>0.50056303980726802</v>
      </c>
    </row>
    <row r="50" spans="1:4" ht="15" customHeight="1" x14ac:dyDescent="0.25">
      <c r="A50" t="s">
        <v>9</v>
      </c>
      <c r="B50" t="s">
        <v>5</v>
      </c>
      <c r="C50">
        <v>1.4189624019893201</v>
      </c>
      <c r="D50">
        <v>0.215257133611305</v>
      </c>
    </row>
    <row r="51" spans="1:4" ht="15" customHeight="1" x14ac:dyDescent="0.25">
      <c r="A51" t="s">
        <v>9</v>
      </c>
      <c r="B51" t="s">
        <v>5</v>
      </c>
      <c r="C51">
        <v>8.16721740974684</v>
      </c>
      <c r="D51">
        <v>1.08418038950246</v>
      </c>
    </row>
    <row r="52" spans="1:4" ht="15" customHeight="1" x14ac:dyDescent="0.25">
      <c r="A52" t="s">
        <v>9</v>
      </c>
      <c r="B52" t="s">
        <v>6</v>
      </c>
      <c r="C52">
        <v>8.16721740974684</v>
      </c>
      <c r="D52">
        <v>0.88081423648659896</v>
      </c>
    </row>
    <row r="53" spans="1:4" ht="15" customHeight="1" x14ac:dyDescent="0.25">
      <c r="A53" t="s">
        <v>9</v>
      </c>
      <c r="B53" t="s">
        <v>6</v>
      </c>
      <c r="C53">
        <v>1.4170102243590099</v>
      </c>
      <c r="D53">
        <v>0.17764852066512701</v>
      </c>
    </row>
    <row r="110" spans="1:1" ht="15" customHeight="1" x14ac:dyDescent="0.25">
      <c r="A110" t="s">
        <v>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5D4-6705-444B-AE2E-05E6B34F4E4D}">
  <sheetPr codeName="Foglio10"/>
  <dimension ref="A1:B19"/>
  <sheetViews>
    <sheetView zoomScale="160" zoomScaleNormal="160" workbookViewId="0">
      <selection activeCell="D11" sqref="D11"/>
    </sheetView>
  </sheetViews>
  <sheetFormatPr defaultRowHeight="15" x14ac:dyDescent="0.25"/>
  <cols>
    <col min="1" max="1" width="32" customWidth="1"/>
    <col min="2" max="2" width="52" customWidth="1"/>
  </cols>
  <sheetData>
    <row r="1" spans="1:2" ht="36" customHeight="1" x14ac:dyDescent="0.3">
      <c r="A1" s="63" t="s">
        <v>103</v>
      </c>
      <c r="B1" s="62"/>
    </row>
    <row r="2" spans="1:2" ht="20.100000000000001" customHeight="1" x14ac:dyDescent="0.3">
      <c r="A2" s="64" t="s">
        <v>104</v>
      </c>
      <c r="B2" s="62"/>
    </row>
    <row r="3" spans="1:2" ht="8.1" customHeight="1" x14ac:dyDescent="0.3">
      <c r="A3" s="39"/>
      <c r="B3" s="39"/>
    </row>
    <row r="4" spans="1:2" ht="21.95" customHeight="1" x14ac:dyDescent="0.3">
      <c r="A4" s="65" t="s">
        <v>105</v>
      </c>
      <c r="B4" s="62"/>
    </row>
    <row r="5" spans="1:2" ht="20.100000000000001" customHeight="1" x14ac:dyDescent="0.25">
      <c r="A5" s="40" t="s">
        <v>106</v>
      </c>
      <c r="B5" s="41" t="s">
        <v>107</v>
      </c>
    </row>
    <row r="6" spans="1:2" x14ac:dyDescent="0.25">
      <c r="A6" s="40" t="s">
        <v>108</v>
      </c>
      <c r="B6" s="43" t="s">
        <v>109</v>
      </c>
    </row>
    <row r="7" spans="1:2" ht="25.5" x14ac:dyDescent="0.25">
      <c r="A7" s="40" t="s">
        <v>110</v>
      </c>
      <c r="B7" s="43" t="s">
        <v>158</v>
      </c>
    </row>
    <row r="8" spans="1:2" ht="25.5" x14ac:dyDescent="0.25">
      <c r="A8" s="40" t="s">
        <v>111</v>
      </c>
      <c r="B8" s="43" t="s">
        <v>159</v>
      </c>
    </row>
    <row r="9" spans="1:2" ht="8.1" customHeight="1" x14ac:dyDescent="0.3">
      <c r="A9" s="39"/>
      <c r="B9" s="39"/>
    </row>
    <row r="10" spans="1:2" ht="21.95" customHeight="1" x14ac:dyDescent="0.3">
      <c r="A10" s="65" t="s">
        <v>112</v>
      </c>
      <c r="B10" s="62"/>
    </row>
    <row r="11" spans="1:2" ht="36" customHeight="1" x14ac:dyDescent="0.25">
      <c r="A11" s="40" t="s">
        <v>113</v>
      </c>
      <c r="B11" s="41" t="s">
        <v>114</v>
      </c>
    </row>
    <row r="12" spans="1:2" ht="8.1" customHeight="1" x14ac:dyDescent="0.3">
      <c r="A12" s="39"/>
      <c r="B12" s="39"/>
    </row>
    <row r="13" spans="1:2" ht="21.95" customHeight="1" x14ac:dyDescent="0.3">
      <c r="A13" s="65" t="s">
        <v>115</v>
      </c>
      <c r="B13" s="62"/>
    </row>
    <row r="14" spans="1:2" ht="38.25" x14ac:dyDescent="0.25">
      <c r="A14" s="40" t="s">
        <v>116</v>
      </c>
      <c r="B14" s="41" t="s">
        <v>117</v>
      </c>
    </row>
    <row r="15" spans="1:2" ht="8.1" customHeight="1" x14ac:dyDescent="0.3">
      <c r="A15" s="39"/>
      <c r="B15" s="39"/>
    </row>
    <row r="16" spans="1:2" ht="21.95" customHeight="1" x14ac:dyDescent="0.3">
      <c r="A16" s="65" t="s">
        <v>118</v>
      </c>
      <c r="B16" s="62"/>
    </row>
    <row r="17" spans="1:2" ht="36" customHeight="1" x14ac:dyDescent="0.25">
      <c r="A17" s="40" t="s">
        <v>119</v>
      </c>
      <c r="B17" s="42" t="s">
        <v>120</v>
      </c>
    </row>
    <row r="18" spans="1:2" ht="8.1" customHeight="1" x14ac:dyDescent="0.3">
      <c r="A18" s="39"/>
      <c r="B18" s="39"/>
    </row>
    <row r="19" spans="1:2" ht="30" customHeight="1" x14ac:dyDescent="0.3">
      <c r="A19" s="61" t="s">
        <v>121</v>
      </c>
      <c r="B19" s="62"/>
    </row>
  </sheetData>
  <mergeCells count="7">
    <mergeCell ref="A19:B19"/>
    <mergeCell ref="A1:B1"/>
    <mergeCell ref="A2:B2"/>
    <mergeCell ref="A4:B4"/>
    <mergeCell ref="A10:B10"/>
    <mergeCell ref="A13:B13"/>
    <mergeCell ref="A16:B16"/>
  </mergeCells>
  <hyperlinks>
    <hyperlink ref="B7" r:id="rId1" xr:uid="{C6054F06-768D-423A-9EED-0DC3E01A3219}"/>
    <hyperlink ref="B6" r:id="rId2" xr:uid="{D4A2242F-92AF-4602-A861-F28EE6A9EE5E}"/>
    <hyperlink ref="B8" r:id="rId3" xr:uid="{2D020C50-34C3-4628-912C-0CAA5B951D9F}"/>
  </hyperlinks>
  <pageMargins left="0.75" right="0.75" top="1" bottom="1" header="0.5" footer="0.5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M23"/>
  <sheetViews>
    <sheetView topLeftCell="A11" zoomScaleNormal="100" workbookViewId="0">
      <selection activeCell="A11" sqref="A11:M11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6" width="10" customWidth="1"/>
    <col min="7" max="9" width="9" customWidth="1"/>
    <col min="10" max="11" width="11" customWidth="1"/>
    <col min="12" max="12" width="9" customWidth="1"/>
    <col min="13" max="13" width="16" customWidth="1"/>
  </cols>
  <sheetData>
    <row r="1" spans="1:13" ht="27.75" customHeight="1" x14ac:dyDescent="0.25">
      <c r="A1" s="58" t="s">
        <v>11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3" spans="1:13" ht="19.5" customHeight="1" x14ac:dyDescent="0.25">
      <c r="A3" s="54" t="s">
        <v>12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</row>
    <row r="4" spans="1:13" ht="15" customHeight="1" x14ac:dyDescent="0.25">
      <c r="A4" s="56" t="s">
        <v>13</v>
      </c>
      <c r="B4" s="56"/>
      <c r="C4" s="59"/>
      <c r="D4" s="60"/>
      <c r="E4" s="60"/>
      <c r="F4" s="60"/>
      <c r="G4" s="60"/>
      <c r="H4" s="60"/>
      <c r="I4" s="60"/>
      <c r="J4" s="60"/>
      <c r="K4" s="60"/>
      <c r="L4" s="60"/>
      <c r="M4" s="60"/>
    </row>
    <row r="5" spans="1:13" ht="15" customHeight="1" x14ac:dyDescent="0.25">
      <c r="A5" s="56" t="s">
        <v>14</v>
      </c>
      <c r="B5" s="56"/>
      <c r="C5" s="2">
        <v>0.15</v>
      </c>
      <c r="D5" s="57" t="s">
        <v>15</v>
      </c>
      <c r="E5" s="57"/>
      <c r="F5" s="57"/>
      <c r="G5" s="57"/>
      <c r="H5" s="57"/>
      <c r="I5" s="57"/>
      <c r="J5" s="57"/>
      <c r="K5" s="57"/>
      <c r="L5" s="57"/>
      <c r="M5" s="57"/>
    </row>
    <row r="6" spans="1:13" ht="15" customHeight="1" x14ac:dyDescent="0.25">
      <c r="A6" s="56" t="s">
        <v>16</v>
      </c>
      <c r="B6" s="56"/>
      <c r="C6" s="2" t="s">
        <v>5</v>
      </c>
      <c r="D6" s="57" t="s">
        <v>17</v>
      </c>
      <c r="E6" s="57"/>
      <c r="F6" s="57"/>
      <c r="G6" s="57"/>
      <c r="H6" s="57"/>
      <c r="I6" s="57"/>
      <c r="J6" s="57"/>
      <c r="K6" s="57"/>
      <c r="L6" s="57"/>
      <c r="M6" s="57"/>
    </row>
    <row r="7" spans="1:13" ht="15" customHeight="1" x14ac:dyDescent="0.25">
      <c r="A7" s="56" t="s">
        <v>18</v>
      </c>
      <c r="B7" s="56"/>
      <c r="C7" s="2">
        <v>8</v>
      </c>
      <c r="D7" s="57" t="s">
        <v>19</v>
      </c>
      <c r="E7" s="57"/>
      <c r="F7" s="57"/>
      <c r="G7" s="57"/>
      <c r="H7" s="57"/>
      <c r="I7" s="57"/>
      <c r="J7" s="57"/>
      <c r="K7" s="57"/>
      <c r="L7" s="57"/>
      <c r="M7" s="57"/>
    </row>
    <row r="8" spans="1:13" ht="15" customHeight="1" x14ac:dyDescent="0.25">
      <c r="A8" s="56" t="s">
        <v>20</v>
      </c>
      <c r="B8" s="56"/>
      <c r="C8" s="2">
        <v>1</v>
      </c>
      <c r="D8" s="57" t="s">
        <v>21</v>
      </c>
      <c r="E8" s="57"/>
      <c r="F8" s="57"/>
      <c r="G8" s="57"/>
      <c r="H8" s="57"/>
      <c r="I8" s="57"/>
      <c r="J8" s="57"/>
      <c r="K8" s="57"/>
      <c r="L8" s="57"/>
      <c r="M8" s="57"/>
    </row>
    <row r="10" spans="1:13" ht="19.5" customHeight="1" x14ac:dyDescent="0.25">
      <c r="A10" s="54" t="s">
        <v>22</v>
      </c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</row>
    <row r="11" spans="1:13" ht="72" customHeight="1" x14ac:dyDescent="0.25">
      <c r="A11" s="55" t="s">
        <v>162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</row>
    <row r="12" spans="1:13" ht="42" customHeight="1" x14ac:dyDescent="0.25">
      <c r="A12" s="3" t="s">
        <v>23</v>
      </c>
      <c r="B12" s="3" t="s">
        <v>24</v>
      </c>
      <c r="C12" s="3" t="s">
        <v>25</v>
      </c>
      <c r="D12" s="3" t="s">
        <v>26</v>
      </c>
      <c r="E12" s="3" t="s">
        <v>27</v>
      </c>
      <c r="F12" s="3" t="s">
        <v>28</v>
      </c>
      <c r="G12" s="3" t="s">
        <v>29</v>
      </c>
      <c r="H12" s="3" t="s">
        <v>30</v>
      </c>
      <c r="I12" s="3" t="s">
        <v>31</v>
      </c>
      <c r="J12" s="3" t="s">
        <v>32</v>
      </c>
      <c r="K12" s="3" t="s">
        <v>160</v>
      </c>
      <c r="L12" s="3" t="s">
        <v>33</v>
      </c>
      <c r="M12" s="3" t="s">
        <v>34</v>
      </c>
    </row>
    <row r="13" spans="1:13" ht="15" customHeight="1" x14ac:dyDescent="0.25">
      <c r="A13" s="4">
        <v>1</v>
      </c>
      <c r="B13" s="2"/>
      <c r="C13" s="2">
        <v>2</v>
      </c>
      <c r="D13" s="2" t="s">
        <v>7</v>
      </c>
      <c r="E13" s="2"/>
      <c r="F13" s="2"/>
      <c r="G13" s="2">
        <v>30</v>
      </c>
      <c r="H13" s="2">
        <v>15</v>
      </c>
      <c r="I13" s="2" t="s">
        <v>122</v>
      </c>
      <c r="J13" s="5">
        <f>IFERROR(getalpha(D13,DATI_INPUT!C6),"–")</f>
        <v>1.7</v>
      </c>
      <c r="K13" s="52" cm="1">
        <f t="array" ref="K13">IFERROR(GetKvi(D13, DATI_INPUT!C6) * getalpha(D13, DATI_INPUT!C6)^2, "–")</f>
        <v>6.8637499999999996</v>
      </c>
      <c r="L13" s="2">
        <v>1.5</v>
      </c>
      <c r="M13" s="2"/>
    </row>
    <row r="14" spans="1:13" ht="15" customHeight="1" x14ac:dyDescent="0.25">
      <c r="A14" s="6">
        <v>2</v>
      </c>
      <c r="B14" s="2"/>
      <c r="C14" s="2">
        <v>2</v>
      </c>
      <c r="D14" s="2" t="s">
        <v>7</v>
      </c>
      <c r="E14" s="2">
        <v>2</v>
      </c>
      <c r="F14" s="2">
        <v>1</v>
      </c>
      <c r="G14" s="2"/>
      <c r="H14" s="2"/>
      <c r="I14" s="2" t="s">
        <v>35</v>
      </c>
      <c r="J14" s="7">
        <f>IFERROR(getalpha(D14,DATI_INPUT!C6),"–")</f>
        <v>1.7</v>
      </c>
      <c r="K14" s="53" cm="1">
        <f t="array" ref="K14">IFERROR(GetKvi(D14, C6) * getalpha(D14, C6)^2, "–")</f>
        <v>6.8637499999999996</v>
      </c>
      <c r="L14" s="2">
        <v>1.5</v>
      </c>
      <c r="M14" s="2"/>
    </row>
    <row r="15" spans="1:13" ht="15" customHeight="1" x14ac:dyDescent="0.25">
      <c r="A15" s="4">
        <v>3</v>
      </c>
      <c r="B15" s="2"/>
      <c r="C15" s="2">
        <v>2</v>
      </c>
      <c r="D15" s="2" t="s">
        <v>4</v>
      </c>
      <c r="E15" s="2">
        <v>1</v>
      </c>
      <c r="F15" s="2">
        <v>2</v>
      </c>
      <c r="G15" s="2"/>
      <c r="H15" s="2"/>
      <c r="I15" s="2" t="s">
        <v>35</v>
      </c>
      <c r="J15" s="5">
        <f>IFERROR(getalpha(D15,DATI_INPUT!C6),"–")</f>
        <v>1.8</v>
      </c>
      <c r="K15" s="52" cm="1">
        <f t="array" ref="K15">IFERROR(GetKvi(D15, C6) * getalpha(D15, C6)^2, "–")</f>
        <v>4.8600000000000003</v>
      </c>
      <c r="L15" s="2">
        <v>1.8</v>
      </c>
      <c r="M15" s="2"/>
    </row>
    <row r="16" spans="1:13" ht="15" customHeight="1" x14ac:dyDescent="0.25">
      <c r="A16" s="6">
        <v>4</v>
      </c>
      <c r="B16" s="2"/>
      <c r="C16" s="2">
        <v>2</v>
      </c>
      <c r="D16" s="2" t="s">
        <v>4</v>
      </c>
      <c r="E16" s="2"/>
      <c r="F16" s="2"/>
      <c r="G16" s="2">
        <v>40</v>
      </c>
      <c r="H16" s="2">
        <v>20</v>
      </c>
      <c r="I16" s="2" t="s">
        <v>122</v>
      </c>
      <c r="J16" s="7">
        <f>IFERROR(getalpha(D16,DATI_INPUT!C6),"–")</f>
        <v>1.8</v>
      </c>
      <c r="K16" s="53" cm="1">
        <f t="array" ref="K16">IFERROR(GetKvi(D16, C6) * getalpha(D16, C6)^2, "–")</f>
        <v>4.8600000000000003</v>
      </c>
      <c r="L16" s="2">
        <v>1.5</v>
      </c>
      <c r="M16" s="2"/>
    </row>
    <row r="17" spans="1:13" ht="15" customHeight="1" x14ac:dyDescent="0.25">
      <c r="A17" s="4">
        <v>5</v>
      </c>
      <c r="B17" s="2"/>
      <c r="C17" s="2">
        <v>2</v>
      </c>
      <c r="D17" s="2" t="s">
        <v>8</v>
      </c>
      <c r="E17" s="2">
        <v>5</v>
      </c>
      <c r="F17" s="2">
        <v>6</v>
      </c>
      <c r="G17" s="2"/>
      <c r="H17" s="2"/>
      <c r="I17" s="2" t="s">
        <v>35</v>
      </c>
      <c r="J17" s="5">
        <f>IFERROR(getalpha(D17,DATI_INPUT!C6),"–")</f>
        <v>1.8</v>
      </c>
      <c r="K17" s="52" cm="1">
        <f t="array" ref="K17">IFERROR(GetKvi(D17, C6) * getalpha(D17, C6)^2, "–")</f>
        <v>9.3150000000000013</v>
      </c>
      <c r="L17" s="2">
        <v>1.5</v>
      </c>
      <c r="M17" s="2"/>
    </row>
    <row r="18" spans="1:13" ht="15" customHeight="1" x14ac:dyDescent="0.25">
      <c r="A18" s="6">
        <v>6</v>
      </c>
      <c r="B18" s="2"/>
      <c r="C18" s="2">
        <v>2</v>
      </c>
      <c r="D18" s="2" t="s">
        <v>8</v>
      </c>
      <c r="E18" s="2"/>
      <c r="F18" s="2"/>
      <c r="G18" s="2">
        <v>100</v>
      </c>
      <c r="H18" s="2">
        <v>80</v>
      </c>
      <c r="I18" s="2" t="s">
        <v>122</v>
      </c>
      <c r="J18" s="7">
        <f>IFERROR(getalpha(D18,DATI_INPUT!C6),"–")</f>
        <v>1.8</v>
      </c>
      <c r="K18" s="53" cm="1">
        <f t="array" ref="K18">IFERROR(GetKvi(D18, C6) * getalpha(D18, C6)^2, "–")</f>
        <v>9.3150000000000013</v>
      </c>
      <c r="L18" s="2">
        <v>1.5</v>
      </c>
      <c r="M18" s="2"/>
    </row>
    <row r="19" spans="1:13" ht="15" customHeight="1" x14ac:dyDescent="0.25">
      <c r="A19" s="4">
        <v>7</v>
      </c>
      <c r="B19" s="2"/>
      <c r="C19" s="2">
        <v>2</v>
      </c>
      <c r="D19" s="2" t="s">
        <v>9</v>
      </c>
      <c r="E19" s="2">
        <v>2.5</v>
      </c>
      <c r="F19" s="2">
        <v>2</v>
      </c>
      <c r="G19" s="2"/>
      <c r="H19" s="2"/>
      <c r="I19" s="2" t="s">
        <v>35</v>
      </c>
      <c r="J19" s="5">
        <f>IFERROR(getalpha(D19,DATI_INPUT!C6),"–")</f>
        <v>1.2</v>
      </c>
      <c r="K19" s="52" cm="1">
        <f t="array" ref="K19">IFERROR(GetKvi(D19, C6) * getalpha(D19, C6)^2, "–")</f>
        <v>2.3759999999999999</v>
      </c>
      <c r="L19" s="2">
        <v>1.5</v>
      </c>
      <c r="M19" s="2"/>
    </row>
    <row r="20" spans="1:13" ht="15" customHeight="1" x14ac:dyDescent="0.25">
      <c r="A20" s="6">
        <v>8</v>
      </c>
      <c r="B20" s="2"/>
      <c r="C20" s="2">
        <v>2</v>
      </c>
      <c r="D20" s="2" t="s">
        <v>9</v>
      </c>
      <c r="E20" s="2">
        <v>3.5</v>
      </c>
      <c r="F20" s="2">
        <v>3</v>
      </c>
      <c r="G20" s="2"/>
      <c r="H20" s="2"/>
      <c r="I20" s="2" t="s">
        <v>35</v>
      </c>
      <c r="J20" s="7">
        <f>IFERROR(getalpha(D20,DATI_INPUT!C6),"–")</f>
        <v>1.2</v>
      </c>
      <c r="K20" s="53" cm="1">
        <f t="array" ref="K20">IFERROR(GetKvi(D20, C6) * getalpha(D20, C6)^2, "–")</f>
        <v>2.3759999999999999</v>
      </c>
      <c r="L20" s="2">
        <v>1.5</v>
      </c>
      <c r="M20" s="2"/>
    </row>
    <row r="21" spans="1:13" ht="15" customHeight="1" x14ac:dyDescent="0.25">
      <c r="A21" s="4">
        <v>9</v>
      </c>
      <c r="B21" s="2"/>
      <c r="C21" s="2"/>
      <c r="D21" s="2"/>
      <c r="E21" s="2"/>
      <c r="F21" s="2"/>
      <c r="G21" s="2"/>
      <c r="H21" s="2"/>
      <c r="I21" s="2" t="s">
        <v>35</v>
      </c>
      <c r="J21" s="5" t="str">
        <f>IFERROR(getalpha(D21,DATI_INPUT!C6),"–")</f>
        <v>–</v>
      </c>
      <c r="K21" s="5" t="str" cm="1">
        <f t="array" ref="K21">IFERROR(GetKvi(D21, C6) * getalpha(D21, C6)^2, "–")</f>
        <v>–</v>
      </c>
      <c r="L21" s="2">
        <v>1.5</v>
      </c>
      <c r="M21" s="2"/>
    </row>
    <row r="22" spans="1:13" ht="15" customHeight="1" x14ac:dyDescent="0.25">
      <c r="A22" s="6">
        <v>10</v>
      </c>
      <c r="B22" s="2"/>
      <c r="C22" s="2"/>
      <c r="D22" s="2"/>
      <c r="E22" s="2"/>
      <c r="F22" s="2"/>
      <c r="G22" s="2"/>
      <c r="H22" s="2"/>
      <c r="I22" s="2" t="s">
        <v>35</v>
      </c>
      <c r="J22" s="7" t="str">
        <f>IFERROR(getalpha(D22,DATI_INPUT!C6),"–")</f>
        <v>–</v>
      </c>
      <c r="K22" s="7" t="str" cm="1">
        <f t="array" ref="K22">IFERROR(GetKvi(D22, C6) * getalpha(D22, C6)^2, "–")</f>
        <v>–</v>
      </c>
      <c r="L22" s="2">
        <v>1.5</v>
      </c>
      <c r="M22" s="2"/>
    </row>
    <row r="23" spans="1:13" x14ac:dyDescent="0.25">
      <c r="J23" s="50"/>
      <c r="K23" s="51"/>
    </row>
  </sheetData>
  <mergeCells count="14">
    <mergeCell ref="A1:M1"/>
    <mergeCell ref="A3:M3"/>
    <mergeCell ref="A4:B4"/>
    <mergeCell ref="A5:B5"/>
    <mergeCell ref="D5:M5"/>
    <mergeCell ref="C4:M4"/>
    <mergeCell ref="A10:M10"/>
    <mergeCell ref="A11:M11"/>
    <mergeCell ref="A6:B6"/>
    <mergeCell ref="D6:M6"/>
    <mergeCell ref="A7:B7"/>
    <mergeCell ref="D7:M7"/>
    <mergeCell ref="A8:B8"/>
    <mergeCell ref="D8:M8"/>
  </mergeCells>
  <dataValidations disablePrompts="1" count="3">
    <dataValidation type="list" sqref="C6" xr:uid="{00000000-0002-0000-0100-000000000000}">
      <formula1>"IRS,IGU"</formula1>
      <formula2>0</formula2>
    </dataValidation>
    <dataValidation type="list" allowBlank="1" sqref="D13:D22" xr:uid="{00000000-0002-0000-0100-000001000000}">
      <formula1>"SG,AL,MC,RA"</formula1>
      <formula2>0</formula2>
    </dataValidation>
    <dataValidation type="list" sqref="I13:I22" xr:uid="{00000000-0002-0000-0100-000002000000}">
      <formula1>"Sì,No"</formula1>
      <formula2>0</formula2>
    </dataValidation>
  </dataValidations>
  <pageMargins left="0.75" right="0.75" top="1" bottom="1" header="0.511811023622047" footer="0.511811023622047"/>
  <pageSetup paperSize="9" scale="92" fitToHeight="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CD913-019E-4A64-8712-350225920167}">
  <sheetPr codeName="Foglio11">
    <pageSetUpPr fitToPage="1"/>
  </sheetPr>
  <dimension ref="A1:D22"/>
  <sheetViews>
    <sheetView tabSelected="1" zoomScaleNormal="100" workbookViewId="0">
      <pane ySplit="4" topLeftCell="A5" activePane="bottomLeft" state="frozen"/>
      <selection pane="bottomLeft" activeCell="E20" sqref="E20"/>
    </sheetView>
  </sheetViews>
  <sheetFormatPr defaultRowHeight="15" x14ac:dyDescent="0.25"/>
  <cols>
    <col min="1" max="1" width="30" style="44" customWidth="1"/>
    <col min="2" max="3" width="16" style="44" customWidth="1"/>
    <col min="4" max="4" width="44" style="44" customWidth="1"/>
    <col min="5" max="16384" width="9.140625" style="44"/>
  </cols>
  <sheetData>
    <row r="1" spans="1:4" ht="30" customHeight="1" x14ac:dyDescent="0.25">
      <c r="A1" s="68" t="s">
        <v>123</v>
      </c>
      <c r="B1" s="67"/>
      <c r="C1" s="67"/>
      <c r="D1" s="67"/>
    </row>
    <row r="2" spans="1:4" ht="6" customHeight="1" x14ac:dyDescent="0.25"/>
    <row r="3" spans="1:4" ht="27.95" customHeight="1" x14ac:dyDescent="0.25">
      <c r="A3" s="69" t="s">
        <v>124</v>
      </c>
      <c r="B3" s="69" t="s">
        <v>125</v>
      </c>
      <c r="C3" s="67"/>
      <c r="D3" s="69" t="s">
        <v>161</v>
      </c>
    </row>
    <row r="4" spans="1:4" ht="18" customHeight="1" x14ac:dyDescent="0.25">
      <c r="A4" s="67"/>
      <c r="B4" s="45" t="s">
        <v>5</v>
      </c>
      <c r="C4" s="45" t="s">
        <v>6</v>
      </c>
      <c r="D4" s="67"/>
    </row>
    <row r="5" spans="1:4" ht="18" customHeight="1" x14ac:dyDescent="0.25">
      <c r="A5" s="46" t="s">
        <v>126</v>
      </c>
      <c r="B5" s="47" t="s">
        <v>127</v>
      </c>
      <c r="C5" s="47" t="s">
        <v>128</v>
      </c>
      <c r="D5" s="46" t="s">
        <v>129</v>
      </c>
    </row>
    <row r="6" spans="1:4" ht="18" customHeight="1" x14ac:dyDescent="0.25">
      <c r="A6" s="48" t="s">
        <v>130</v>
      </c>
      <c r="B6" s="49" t="s">
        <v>131</v>
      </c>
      <c r="C6" s="49" t="s">
        <v>128</v>
      </c>
      <c r="D6" s="48" t="s">
        <v>129</v>
      </c>
    </row>
    <row r="7" spans="1:4" ht="18" customHeight="1" x14ac:dyDescent="0.25">
      <c r="A7" s="46" t="s">
        <v>132</v>
      </c>
      <c r="B7" s="47" t="s">
        <v>133</v>
      </c>
      <c r="C7" s="47" t="s">
        <v>134</v>
      </c>
      <c r="D7" s="46" t="s">
        <v>129</v>
      </c>
    </row>
    <row r="8" spans="1:4" ht="18" customHeight="1" x14ac:dyDescent="0.25">
      <c r="A8" s="48" t="s">
        <v>135</v>
      </c>
      <c r="B8" s="49" t="s">
        <v>136</v>
      </c>
      <c r="C8" s="49" t="s">
        <v>137</v>
      </c>
      <c r="D8" s="48" t="s">
        <v>129</v>
      </c>
    </row>
    <row r="9" spans="1:4" ht="18" customHeight="1" x14ac:dyDescent="0.25">
      <c r="A9" s="46" t="s">
        <v>138</v>
      </c>
      <c r="B9" s="47" t="s">
        <v>136</v>
      </c>
      <c r="C9" s="47" t="s">
        <v>137</v>
      </c>
      <c r="D9" s="46" t="s">
        <v>129</v>
      </c>
    </row>
    <row r="10" spans="1:4" ht="18" customHeight="1" x14ac:dyDescent="0.25">
      <c r="A10" s="48" t="s">
        <v>139</v>
      </c>
      <c r="B10" s="49" t="s">
        <v>136</v>
      </c>
      <c r="C10" s="49" t="s">
        <v>137</v>
      </c>
      <c r="D10" s="48" t="s">
        <v>129</v>
      </c>
    </row>
    <row r="11" spans="1:4" ht="30" customHeight="1" x14ac:dyDescent="0.25">
      <c r="A11" s="46" t="s">
        <v>140</v>
      </c>
      <c r="B11" s="47" t="s">
        <v>136</v>
      </c>
      <c r="C11" s="47" t="s">
        <v>137</v>
      </c>
      <c r="D11" s="46" t="s">
        <v>141</v>
      </c>
    </row>
    <row r="12" spans="1:4" ht="30" customHeight="1" x14ac:dyDescent="0.25">
      <c r="A12" s="48" t="s">
        <v>142</v>
      </c>
      <c r="B12" s="49" t="s">
        <v>143</v>
      </c>
      <c r="C12" s="49" t="s">
        <v>137</v>
      </c>
      <c r="D12" s="48" t="s">
        <v>144</v>
      </c>
    </row>
    <row r="13" spans="1:4" ht="30" customHeight="1" x14ac:dyDescent="0.25">
      <c r="A13" s="46" t="s">
        <v>145</v>
      </c>
      <c r="B13" s="47" t="s">
        <v>146</v>
      </c>
      <c r="C13" s="47" t="s">
        <v>147</v>
      </c>
      <c r="D13" s="46" t="s">
        <v>148</v>
      </c>
    </row>
    <row r="14" spans="1:4" ht="30" customHeight="1" x14ac:dyDescent="0.25">
      <c r="A14" s="48" t="s">
        <v>149</v>
      </c>
      <c r="B14" s="49" t="s">
        <v>127</v>
      </c>
      <c r="C14" s="49" t="s">
        <v>137</v>
      </c>
      <c r="D14" s="70" t="s">
        <v>150</v>
      </c>
    </row>
    <row r="15" spans="1:4" ht="18" customHeight="1" x14ac:dyDescent="0.25">
      <c r="A15" s="46" t="s">
        <v>151</v>
      </c>
      <c r="B15" s="47" t="s">
        <v>127</v>
      </c>
      <c r="C15" s="47" t="s">
        <v>137</v>
      </c>
      <c r="D15" s="71"/>
    </row>
    <row r="16" spans="1:4" ht="18" customHeight="1" x14ac:dyDescent="0.25">
      <c r="A16" s="48" t="s">
        <v>152</v>
      </c>
      <c r="B16" s="49" t="s">
        <v>127</v>
      </c>
      <c r="C16" s="49" t="s">
        <v>137</v>
      </c>
      <c r="D16" s="72"/>
    </row>
    <row r="17" spans="1:4" ht="30" customHeight="1" x14ac:dyDescent="0.25">
      <c r="A17" s="46" t="s">
        <v>153</v>
      </c>
      <c r="B17" s="47" t="s">
        <v>147</v>
      </c>
      <c r="C17" s="47" t="s">
        <v>154</v>
      </c>
      <c r="D17" s="46" t="s">
        <v>155</v>
      </c>
    </row>
    <row r="19" spans="1:4" ht="18" customHeight="1" x14ac:dyDescent="0.25">
      <c r="A19" s="66" t="s">
        <v>156</v>
      </c>
      <c r="B19" s="67"/>
      <c r="C19" s="67"/>
      <c r="D19" s="67"/>
    </row>
    <row r="20" spans="1:4" ht="56.25" customHeight="1" x14ac:dyDescent="0.25">
      <c r="A20" s="92" t="s">
        <v>163</v>
      </c>
      <c r="B20" s="67"/>
      <c r="C20" s="67"/>
      <c r="D20" s="67"/>
    </row>
    <row r="21" spans="1:4" ht="30.75" customHeight="1" x14ac:dyDescent="0.25">
      <c r="A21" s="93" t="s">
        <v>164</v>
      </c>
      <c r="B21" s="93"/>
      <c r="C21" s="93"/>
      <c r="D21" s="93"/>
    </row>
    <row r="22" spans="1:4" x14ac:dyDescent="0.25">
      <c r="A22" s="66" t="s">
        <v>157</v>
      </c>
      <c r="B22" s="67"/>
      <c r="C22" s="67"/>
      <c r="D22" s="67"/>
    </row>
  </sheetData>
  <mergeCells count="9">
    <mergeCell ref="A22:D22"/>
    <mergeCell ref="A21:D21"/>
    <mergeCell ref="A1:D1"/>
    <mergeCell ref="A3:A4"/>
    <mergeCell ref="B3:C3"/>
    <mergeCell ref="D3:D4"/>
    <mergeCell ref="D14:D16"/>
    <mergeCell ref="A19:D19"/>
    <mergeCell ref="A20:D20"/>
  </mergeCells>
  <pageMargins left="0.75" right="0.75" top="1" bottom="1" header="0.5" footer="0.5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H22"/>
  <sheetViews>
    <sheetView zoomScaleNormal="100" workbookViewId="0">
      <selection activeCell="F10" sqref="F10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78" t="s">
        <v>36</v>
      </c>
      <c r="B1" s="78"/>
      <c r="C1" s="78"/>
      <c r="D1" s="78"/>
      <c r="E1" s="78"/>
      <c r="F1" s="78"/>
      <c r="G1" s="78"/>
      <c r="H1" s="78"/>
    </row>
    <row r="2" spans="1:8" ht="27.75" customHeight="1" x14ac:dyDescent="0.25">
      <c r="A2" s="55" t="s">
        <v>37</v>
      </c>
      <c r="B2" s="55"/>
      <c r="C2" s="55"/>
      <c r="D2" s="55"/>
      <c r="E2" s="55"/>
      <c r="F2" s="55"/>
      <c r="G2" s="55"/>
      <c r="H2" s="55"/>
    </row>
    <row r="4" spans="1:8" ht="19.5" customHeight="1" x14ac:dyDescent="0.25">
      <c r="A4" s="54" t="s">
        <v>38</v>
      </c>
      <c r="B4" s="54"/>
      <c r="C4" s="54"/>
      <c r="D4" s="54"/>
      <c r="E4" s="54"/>
      <c r="F4" s="54"/>
      <c r="G4" s="54"/>
      <c r="H4" s="54"/>
    </row>
    <row r="5" spans="1:8" ht="15" customHeight="1" x14ac:dyDescent="0.25">
      <c r="A5" s="73" t="s">
        <v>39</v>
      </c>
      <c r="B5" s="73"/>
      <c r="C5" s="73"/>
      <c r="D5" s="4">
        <f>DATI_INPUT!C5</f>
        <v>0.15</v>
      </c>
    </row>
    <row r="6" spans="1:8" ht="15" customHeight="1" x14ac:dyDescent="0.25">
      <c r="A6" s="73" t="s">
        <v>40</v>
      </c>
      <c r="B6" s="73"/>
      <c r="C6" s="73"/>
      <c r="D6" s="4" t="str">
        <f>DATI_INPUT!C6</f>
        <v>IRS</v>
      </c>
    </row>
    <row r="7" spans="1:8" ht="15" customHeight="1" x14ac:dyDescent="0.25">
      <c r="A7" s="73" t="s">
        <v>41</v>
      </c>
      <c r="B7" s="73"/>
      <c r="C7" s="73"/>
      <c r="D7" s="2">
        <v>0.15</v>
      </c>
      <c r="E7" s="74" t="s">
        <v>42</v>
      </c>
      <c r="F7" s="74"/>
      <c r="G7" s="74"/>
      <c r="H7" s="74"/>
    </row>
    <row r="9" spans="1:8" ht="39.75" customHeight="1" x14ac:dyDescent="0.25">
      <c r="A9" s="8" t="s">
        <v>23</v>
      </c>
      <c r="B9" s="8" t="s">
        <v>24</v>
      </c>
      <c r="C9" s="8" t="s">
        <v>25</v>
      </c>
      <c r="D9" s="8" t="s">
        <v>43</v>
      </c>
      <c r="E9" s="8" t="s">
        <v>44</v>
      </c>
      <c r="F9" s="8" t="s">
        <v>45</v>
      </c>
      <c r="G9" s="8" t="s">
        <v>46</v>
      </c>
      <c r="H9" s="8" t="s">
        <v>47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9">
        <f>D10*DATI_INPUT!C5</f>
        <v>0.22499999999999998</v>
      </c>
      <c r="F10" s="9">
        <f>IFERROR(IF(DATI_INPUT!I13="Sì",getpl_fromnspt(DATI_INPUT!D13,DATI_INPUT!G13),IF(DATI_INPUT!E13="",0,DATI_INPUT!E13)),IF(DATI_INPUT!E13="",0,DATI_INPUT!E13))</f>
        <v>2.0009999999999999</v>
      </c>
      <c r="G10" s="9">
        <f>IFERROR(IF(OR(C10="",F10=0),"",getqs(DATI_INPUT!D13,DATI_INPUT!C6,F10)),"")</f>
        <v>0.26788178607556729</v>
      </c>
      <c r="H10" s="10">
        <f t="shared" ref="H10:H19" si="0">IFERROR(IF(OR(C10="",G10=""),0,PI()*E10*G10*1000*C10),0)</f>
        <v>378.70895302448156</v>
      </c>
    </row>
    <row r="11" spans="1:8" ht="15" customHeight="1" x14ac:dyDescent="0.25">
      <c r="A11" s="11">
        <v>2</v>
      </c>
      <c r="B11" s="11">
        <f>DATI_INPUT!B14</f>
        <v>0</v>
      </c>
      <c r="C11" s="11">
        <f>DATI_INPUT!C14</f>
        <v>2</v>
      </c>
      <c r="D11" s="11">
        <f>IFERROR(DATI_INPUT!L14,1.5)</f>
        <v>1.5</v>
      </c>
      <c r="E11" s="12">
        <f>D11*DATI_INPUT!C5</f>
        <v>0.22499999999999998</v>
      </c>
      <c r="F11" s="12">
        <f>IFERROR(IF(DATI_INPUT!I14="Sì",getpl_fromnspt(DATI_INPUT!D14,DATI_INPUT!G14),IF(DATI_INPUT!E14="",0,DATI_INPUT!E14)),IF(DATI_INPUT!E14="",0,DATI_INPUT!E14))</f>
        <v>2</v>
      </c>
      <c r="G11" s="12">
        <f>IFERROR(IF(OR(C11="",F11=0),"",getqs(DATI_INPUT!D14,DATI_INPUT!C6,F11)),"")</f>
        <v>0.26780007457464489</v>
      </c>
      <c r="H11" s="13">
        <f t="shared" si="0"/>
        <v>378.59343611152633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9">
        <f>D12*DATI_INPUT!C5</f>
        <v>0.27</v>
      </c>
      <c r="F12" s="9">
        <f>IFERROR(IF(DATI_INPUT!I15="Sì",getpl_fromnspt(DATI_INPUT!D15,DATI_INPUT!G15),IF(DATI_INPUT!E15="",0,DATI_INPUT!E15)),IF(DATI_INPUT!E15="",0,DATI_INPUT!E15))</f>
        <v>1</v>
      </c>
      <c r="G12" s="9">
        <f>IFERROR(IF(OR(C12="",F12=0),"",getqs(DATI_INPUT!D15,DATI_INPUT!C6,F12)),"")</f>
        <v>0.16303892814632898</v>
      </c>
      <c r="H12" s="10">
        <f t="shared" si="0"/>
        <v>276.5890254133771</v>
      </c>
    </row>
    <row r="13" spans="1:8" ht="15" customHeight="1" x14ac:dyDescent="0.25">
      <c r="A13" s="11">
        <v>4</v>
      </c>
      <c r="B13" s="11">
        <f>DATI_INPUT!B16</f>
        <v>0</v>
      </c>
      <c r="C13" s="11">
        <f>DATI_INPUT!C16</f>
        <v>2</v>
      </c>
      <c r="D13" s="11">
        <f>IFERROR(DATI_INPUT!L16,1.5)</f>
        <v>1.5</v>
      </c>
      <c r="E13" s="12">
        <f>D13*DATI_INPUT!C5</f>
        <v>0.22499999999999998</v>
      </c>
      <c r="F13" s="12">
        <f>IFERROR(IF(DATI_INPUT!I16="Sì",getpl_fromnspt(DATI_INPUT!D16,DATI_INPUT!G16),IF(DATI_INPUT!E16="",0,DATI_INPUT!E16)),IF(DATI_INPUT!E16="",0,DATI_INPUT!E16))</f>
        <v>2</v>
      </c>
      <c r="G13" s="12">
        <f>IFERROR(IF(OR(C13="",F13=0),"",getqs(DATI_INPUT!D16,DATI_INPUT!C6,F13)),"")</f>
        <v>0.2769591643940878</v>
      </c>
      <c r="H13" s="13">
        <f t="shared" si="0"/>
        <v>391.54179429217521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9">
        <f>D14*DATI_INPUT!C5</f>
        <v>0.22499999999999998</v>
      </c>
      <c r="F14" s="9">
        <f>IFERROR(IF(DATI_INPUT!I17="Sì",getpl_fromnspt(DATI_INPUT!D17,DATI_INPUT!G17),IF(DATI_INPUT!E17="",0,DATI_INPUT!E17)),IF(DATI_INPUT!E17="",0,DATI_INPUT!E17))</f>
        <v>5</v>
      </c>
      <c r="G14" s="9">
        <f>IFERROR(IF(OR(C14="",F14=0),"",getqs(DATI_INPUT!D17,DATI_INPUT!C6,F14)),"")</f>
        <v>0.47538305960727051</v>
      </c>
      <c r="H14" s="10">
        <f t="shared" si="0"/>
        <v>672.05696746645788</v>
      </c>
    </row>
    <row r="15" spans="1:8" ht="15" customHeight="1" x14ac:dyDescent="0.25">
      <c r="A15" s="11">
        <v>6</v>
      </c>
      <c r="B15" s="11">
        <f>DATI_INPUT!B18</f>
        <v>0</v>
      </c>
      <c r="C15" s="11">
        <f>DATI_INPUT!C18</f>
        <v>2</v>
      </c>
      <c r="D15" s="11">
        <f>IFERROR(DATI_INPUT!L18,1.5)</f>
        <v>1.5</v>
      </c>
      <c r="E15" s="12">
        <f>D15*DATI_INPUT!C5</f>
        <v>0.22499999999999998</v>
      </c>
      <c r="F15" s="12">
        <f>IFERROR(IF(DATI_INPUT!I18="Sì",getpl_fromnspt(DATI_INPUT!D18,DATI_INPUT!G18),IF(DATI_INPUT!E18="",0,DATI_INPUT!E18)),IF(DATI_INPUT!E18="",0,DATI_INPUT!E18))</f>
        <v>5</v>
      </c>
      <c r="G15" s="12">
        <f>IFERROR(IF(OR(C15="",F15=0),"",getqs(DATI_INPUT!D18,DATI_INPUT!C6,F15)),"")</f>
        <v>0.47538305960727051</v>
      </c>
      <c r="H15" s="13">
        <f t="shared" si="0"/>
        <v>672.05696746645788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9">
        <f>D16*DATI_INPUT!C5</f>
        <v>0.22499999999999998</v>
      </c>
      <c r="F16" s="9">
        <f>IFERROR(IF(DATI_INPUT!I19="Sì",getpl_fromnspt(DATI_INPUT!D19,DATI_INPUT!G19),IF(DATI_INPUT!E19="",0,DATI_INPUT!E19)),IF(DATI_INPUT!E19="",0,DATI_INPUT!E19))</f>
        <v>2.5</v>
      </c>
      <c r="G16" s="9">
        <f>IFERROR(IF(OR(C16="",F16=0),"",getqs(DATI_INPUT!D19,DATI_INPUT!C6,F16)),"")</f>
        <v>0.3544544088067989</v>
      </c>
      <c r="H16" s="10">
        <f t="shared" si="0"/>
        <v>501.09811503297863</v>
      </c>
    </row>
    <row r="17" spans="1:8" ht="15" customHeight="1" x14ac:dyDescent="0.25">
      <c r="A17" s="11">
        <v>8</v>
      </c>
      <c r="B17" s="11">
        <f>DATI_INPUT!B20</f>
        <v>0</v>
      </c>
      <c r="C17" s="11">
        <f>DATI_INPUT!C20</f>
        <v>2</v>
      </c>
      <c r="D17" s="11">
        <f>IFERROR(DATI_INPUT!L20,1.5)</f>
        <v>1.5</v>
      </c>
      <c r="E17" s="12">
        <f>D17*DATI_INPUT!C5</f>
        <v>0.22499999999999998</v>
      </c>
      <c r="F17" s="12">
        <f>IFERROR(IF(DATI_INPUT!I20="Sì",getpl_fromnspt(DATI_INPUT!D20,DATI_INPUT!G20),IF(DATI_INPUT!E20="",0,DATI_INPUT!E20)),IF(DATI_INPUT!E20="",0,DATI_INPUT!E20))</f>
        <v>3.5</v>
      </c>
      <c r="G17" s="12">
        <f>IFERROR(IF(OR(C17="",F17=0),"",getqs(DATI_INPUT!D20,DATI_INPUT!C6,F17)),"")</f>
        <v>0.48321706743369969</v>
      </c>
      <c r="H17" s="13">
        <f t="shared" si="0"/>
        <v>683.1320351125114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9">
        <f>D18*DATI_INPUT!C5</f>
        <v>0.22499999999999998</v>
      </c>
      <c r="F18" s="9">
        <f>IFERROR(IF(DATI_INPUT!I21="Sì",getpl_fromnspt(DATI_INPUT!D21,DATI_INPUT!G21),IF(DATI_INPUT!E21="",0,DATI_INPUT!E21)),IF(DATI_INPUT!E21="",0,DATI_INPUT!E21))</f>
        <v>0</v>
      </c>
      <c r="G18" s="9" t="str">
        <f>IFERROR(IF(OR(C18="",F18=0),"",getqs(DATI_INPUT!D21,DATI_INPUT!C6,F18)),"")</f>
        <v/>
      </c>
      <c r="H18" s="10">
        <f t="shared" si="0"/>
        <v>0</v>
      </c>
    </row>
    <row r="19" spans="1:8" ht="15" customHeight="1" x14ac:dyDescent="0.25">
      <c r="A19" s="11">
        <v>10</v>
      </c>
      <c r="B19" s="11">
        <f>DATI_INPUT!B22</f>
        <v>0</v>
      </c>
      <c r="C19" s="11">
        <f>DATI_INPUT!C22</f>
        <v>0</v>
      </c>
      <c r="D19" s="11">
        <f>IFERROR(DATI_INPUT!L22,1.5)</f>
        <v>1.5</v>
      </c>
      <c r="E19" s="12">
        <f>D19*DATI_INPUT!C5</f>
        <v>0.22499999999999998</v>
      </c>
      <c r="F19" s="12">
        <f>IFERROR(IF(DATI_INPUT!I22="Sì",getpl_fromnspt(DATI_INPUT!D22,DATI_INPUT!G22),IF(DATI_INPUT!E22="",0,DATI_INPUT!E22)),IF(DATI_INPUT!E22="",0,DATI_INPUT!E22))</f>
        <v>0</v>
      </c>
      <c r="G19" s="12" t="str">
        <f>IFERROR(IF(OR(C19="",F19=0),"",getqs(DATI_INPUT!D22,DATI_INPUT!C6,F19)),"")</f>
        <v/>
      </c>
      <c r="H19" s="13">
        <f t="shared" si="0"/>
        <v>0</v>
      </c>
    </row>
    <row r="20" spans="1:8" ht="15" customHeight="1" x14ac:dyDescent="0.25">
      <c r="A20" s="75" t="s">
        <v>48</v>
      </c>
      <c r="B20" s="75"/>
      <c r="C20" s="75"/>
      <c r="D20" s="75"/>
      <c r="E20" s="75"/>
      <c r="F20" s="75"/>
      <c r="G20" s="75"/>
      <c r="H20" s="14">
        <f>SUM(H10:H19)</f>
        <v>3953.7772939199658</v>
      </c>
    </row>
    <row r="21" spans="1:8" ht="15" customHeight="1" x14ac:dyDescent="0.25">
      <c r="A21" s="76" t="s">
        <v>49</v>
      </c>
      <c r="B21" s="76"/>
      <c r="C21" s="76"/>
      <c r="D21" s="76"/>
      <c r="E21" s="76"/>
      <c r="F21" s="76"/>
      <c r="G21" s="76"/>
      <c r="H21" s="13">
        <f>D7*H20</f>
        <v>593.06659408799487</v>
      </c>
    </row>
    <row r="22" spans="1:8" ht="15" customHeight="1" x14ac:dyDescent="0.25">
      <c r="A22" s="77" t="s">
        <v>50</v>
      </c>
      <c r="B22" s="77"/>
      <c r="C22" s="77"/>
      <c r="D22" s="77"/>
      <c r="E22" s="77"/>
      <c r="F22" s="77"/>
      <c r="G22" s="77"/>
      <c r="H22" s="14">
        <f>H20+H21</f>
        <v>4546.8438880079611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H22"/>
  <sheetViews>
    <sheetView zoomScaleNormal="100" workbookViewId="0">
      <selection activeCell="K4" sqref="K4"/>
    </sheetView>
  </sheetViews>
  <sheetFormatPr defaultColWidth="8.7109375" defaultRowHeight="15" x14ac:dyDescent="0.25"/>
  <cols>
    <col min="1" max="1" width="7" customWidth="1"/>
    <col min="2" max="2" width="20" customWidth="1"/>
    <col min="3" max="3" width="9" customWidth="1"/>
    <col min="4" max="4" width="8" customWidth="1"/>
    <col min="5" max="5" width="10" customWidth="1"/>
    <col min="6" max="8" width="12" customWidth="1"/>
  </cols>
  <sheetData>
    <row r="1" spans="1:8" ht="27.75" customHeight="1" x14ac:dyDescent="0.25">
      <c r="A1" s="58" t="s">
        <v>51</v>
      </c>
      <c r="B1" s="58"/>
      <c r="C1" s="58"/>
      <c r="D1" s="58"/>
      <c r="E1" s="58"/>
      <c r="F1" s="58"/>
      <c r="G1" s="58"/>
      <c r="H1" s="58"/>
    </row>
    <row r="2" spans="1:8" ht="27.75" customHeight="1" x14ac:dyDescent="0.25">
      <c r="A2" s="55" t="s">
        <v>37</v>
      </c>
      <c r="B2" s="55"/>
      <c r="C2" s="55"/>
      <c r="D2" s="55"/>
      <c r="E2" s="55"/>
      <c r="F2" s="55"/>
      <c r="G2" s="55"/>
      <c r="H2" s="55"/>
    </row>
    <row r="4" spans="1:8" ht="19.5" customHeight="1" x14ac:dyDescent="0.25">
      <c r="A4" s="83" t="s">
        <v>38</v>
      </c>
      <c r="B4" s="83"/>
      <c r="C4" s="83"/>
      <c r="D4" s="83"/>
      <c r="E4" s="83"/>
      <c r="F4" s="83"/>
      <c r="G4" s="83"/>
      <c r="H4" s="83"/>
    </row>
    <row r="5" spans="1:8" ht="15" customHeight="1" x14ac:dyDescent="0.25">
      <c r="A5" s="79" t="s">
        <v>39</v>
      </c>
      <c r="B5" s="79"/>
      <c r="C5" s="79"/>
      <c r="D5" s="4">
        <f>DATI_INPUT!C5</f>
        <v>0.15</v>
      </c>
    </row>
    <row r="6" spans="1:8" ht="15" customHeight="1" x14ac:dyDescent="0.25">
      <c r="A6" s="79" t="s">
        <v>40</v>
      </c>
      <c r="B6" s="79"/>
      <c r="C6" s="79"/>
      <c r="D6" s="4" t="str">
        <f>DATI_INPUT!C6</f>
        <v>IRS</v>
      </c>
    </row>
    <row r="7" spans="1:8" ht="15" customHeight="1" x14ac:dyDescent="0.25">
      <c r="A7" s="79" t="s">
        <v>41</v>
      </c>
      <c r="B7" s="79"/>
      <c r="C7" s="79"/>
      <c r="D7" s="2">
        <v>0.15</v>
      </c>
      <c r="E7" s="74" t="s">
        <v>42</v>
      </c>
      <c r="F7" s="74"/>
      <c r="G7" s="74"/>
      <c r="H7" s="74"/>
    </row>
    <row r="9" spans="1:8" ht="39.75" customHeight="1" x14ac:dyDescent="0.25">
      <c r="A9" s="3" t="s">
        <v>23</v>
      </c>
      <c r="B9" s="3" t="s">
        <v>24</v>
      </c>
      <c r="C9" s="3" t="s">
        <v>25</v>
      </c>
      <c r="D9" s="3" t="s">
        <v>43</v>
      </c>
      <c r="E9" s="3" t="s">
        <v>44</v>
      </c>
      <c r="F9" s="3" t="s">
        <v>45</v>
      </c>
      <c r="G9" s="3" t="s">
        <v>46</v>
      </c>
      <c r="H9" s="3" t="s">
        <v>47</v>
      </c>
    </row>
    <row r="10" spans="1:8" ht="15" customHeight="1" x14ac:dyDescent="0.25">
      <c r="A10" s="4">
        <v>1</v>
      </c>
      <c r="B10" s="4">
        <f>DATI_INPUT!B13</f>
        <v>0</v>
      </c>
      <c r="C10" s="4">
        <f>DATI_INPUT!C13</f>
        <v>2</v>
      </c>
      <c r="D10" s="4">
        <f>IFERROR(DATI_INPUT!L13,1.5)</f>
        <v>1.5</v>
      </c>
      <c r="E10" s="9">
        <f>D10*DATI_INPUT!C5</f>
        <v>0.22499999999999998</v>
      </c>
      <c r="F10" s="9">
        <f>IFERROR(IF(DATI_INPUT!I13="Sì",getpl_fromnspt(DATI_INPUT!D13,DATI_INPUT!H13),IF(DATI_INPUT!F13="",0,DATI_INPUT!F13)),IF(DATI_INPUT!F13="",0,DATI_INPUT!F13))</f>
        <v>1.0004999999999999</v>
      </c>
      <c r="G10" s="9">
        <f>IFERROR(IF(OR(C10="",F10=0),"",getqs(DATI_INPUT!D13,DATI_INPUT!C6,F10)),"")</f>
        <v>0.17547852590014054</v>
      </c>
      <c r="H10" s="10">
        <f t="shared" ref="H10:H19" si="0">IFERROR(IF(OR(C10="",G10=""),0,PI()*E10*G10*1000*C10),0)</f>
        <v>248.07692152379147</v>
      </c>
    </row>
    <row r="11" spans="1:8" ht="15" customHeight="1" x14ac:dyDescent="0.25">
      <c r="A11" s="15">
        <v>2</v>
      </c>
      <c r="B11" s="15">
        <f>DATI_INPUT!B14</f>
        <v>0</v>
      </c>
      <c r="C11" s="15">
        <f>DATI_INPUT!C14</f>
        <v>2</v>
      </c>
      <c r="D11" s="15">
        <f>IFERROR(DATI_INPUT!L14,1.5)</f>
        <v>1.5</v>
      </c>
      <c r="E11" s="16">
        <f>D11*DATI_INPUT!C5</f>
        <v>0.22499999999999998</v>
      </c>
      <c r="F11" s="16">
        <f>IFERROR(IF(DATI_INPUT!I14="Sì",getpl_fromnspt(DATI_INPUT!D14,DATI_INPUT!H14),IF(DATI_INPUT!F14="",0,DATI_INPUT!F14)),IF(DATI_INPUT!F14="",0,DATI_INPUT!F14))</f>
        <v>1</v>
      </c>
      <c r="G11" s="16">
        <f>IFERROR(IF(OR(C11="",F11=0),"",getqs(DATI_INPUT!D14,DATI_INPUT!C6,F11)),"")</f>
        <v>0.175425</v>
      </c>
      <c r="H11" s="17">
        <f t="shared" si="0"/>
        <v>248.00125106519522</v>
      </c>
    </row>
    <row r="12" spans="1:8" ht="15" customHeight="1" x14ac:dyDescent="0.25">
      <c r="A12" s="4">
        <v>3</v>
      </c>
      <c r="B12" s="4">
        <f>DATI_INPUT!B15</f>
        <v>0</v>
      </c>
      <c r="C12" s="4">
        <f>DATI_INPUT!C15</f>
        <v>2</v>
      </c>
      <c r="D12" s="4">
        <f>IFERROR(DATI_INPUT!L15,1.5)</f>
        <v>1.8</v>
      </c>
      <c r="E12" s="9">
        <f>D12*DATI_INPUT!C5</f>
        <v>0.27</v>
      </c>
      <c r="F12" s="9">
        <f>IFERROR(IF(DATI_INPUT!I15="Sì",getpl_fromnspt(DATI_INPUT!D15,DATI_INPUT!H15),IF(DATI_INPUT!F15="",0,DATI_INPUT!F15)),IF(DATI_INPUT!F15="",0,DATI_INPUT!F15))</f>
        <v>2</v>
      </c>
      <c r="G12" s="9">
        <f>IFERROR(IF(OR(C12="",F12=0),"",getqs(DATI_INPUT!D15,DATI_INPUT!C6,F12)),"")</f>
        <v>0.2769591643940878</v>
      </c>
      <c r="H12" s="10">
        <f t="shared" si="0"/>
        <v>469.85015315061042</v>
      </c>
    </row>
    <row r="13" spans="1:8" ht="15" customHeight="1" x14ac:dyDescent="0.25">
      <c r="A13" s="15">
        <v>4</v>
      </c>
      <c r="B13" s="15">
        <f>DATI_INPUT!B16</f>
        <v>0</v>
      </c>
      <c r="C13" s="15">
        <f>DATI_INPUT!C16</f>
        <v>2</v>
      </c>
      <c r="D13" s="15">
        <f>IFERROR(DATI_INPUT!L16,1.5)</f>
        <v>1.5</v>
      </c>
      <c r="E13" s="16">
        <f>D13*DATI_INPUT!C5</f>
        <v>0.22499999999999998</v>
      </c>
      <c r="F13" s="16">
        <f>IFERROR(IF(DATI_INPUT!I16="Sì",getpl_fromnspt(DATI_INPUT!D16,DATI_INPUT!H16),IF(DATI_INPUT!F16="",0,DATI_INPUT!F16)),IF(DATI_INPUT!F16="",0,DATI_INPUT!F16))</f>
        <v>1</v>
      </c>
      <c r="G13" s="16">
        <f>IFERROR(IF(OR(C13="",F13=0),"",getqs(DATI_INPUT!D16,DATI_INPUT!C6,F13)),"")</f>
        <v>0.16303892814632898</v>
      </c>
      <c r="H13" s="17">
        <f t="shared" si="0"/>
        <v>230.49085451114755</v>
      </c>
    </row>
    <row r="14" spans="1:8" ht="15" customHeight="1" x14ac:dyDescent="0.25">
      <c r="A14" s="4">
        <v>5</v>
      </c>
      <c r="B14" s="4">
        <f>DATI_INPUT!B17</f>
        <v>0</v>
      </c>
      <c r="C14" s="4">
        <f>DATI_INPUT!C17</f>
        <v>2</v>
      </c>
      <c r="D14" s="4">
        <f>IFERROR(DATI_INPUT!L17,1.5)</f>
        <v>1.5</v>
      </c>
      <c r="E14" s="9">
        <f>D14*DATI_INPUT!C5</f>
        <v>0.22499999999999998</v>
      </c>
      <c r="F14" s="9">
        <f>IFERROR(IF(DATI_INPUT!I17="Sì",getpl_fromnspt(DATI_INPUT!D17,DATI_INPUT!H17),IF(DATI_INPUT!F17="",0,DATI_INPUT!F17)),IF(DATI_INPUT!F17="",0,DATI_INPUT!F17))</f>
        <v>6</v>
      </c>
      <c r="G14" s="9">
        <f>IFERROR(IF(OR(C14="",F14=0),"",getqs(DATI_INPUT!D17,DATI_INPUT!C6,F14)),"")</f>
        <v>0.54632590127568592</v>
      </c>
      <c r="H14" s="10">
        <f t="shared" si="0"/>
        <v>772.35004706108282</v>
      </c>
    </row>
    <row r="15" spans="1:8" ht="15" customHeight="1" x14ac:dyDescent="0.25">
      <c r="A15" s="15">
        <v>6</v>
      </c>
      <c r="B15" s="15">
        <f>DATI_INPUT!B18</f>
        <v>0</v>
      </c>
      <c r="C15" s="15">
        <f>DATI_INPUT!C18</f>
        <v>2</v>
      </c>
      <c r="D15" s="15">
        <f>IFERROR(DATI_INPUT!L18,1.5)</f>
        <v>1.5</v>
      </c>
      <c r="E15" s="16">
        <f>D15*DATI_INPUT!C5</f>
        <v>0.22499999999999998</v>
      </c>
      <c r="F15" s="16">
        <f>IFERROR(IF(DATI_INPUT!I18="Sì",getpl_fromnspt(DATI_INPUT!D18,DATI_INPUT!H18),IF(DATI_INPUT!F18="",0,DATI_INPUT!F18)),IF(DATI_INPUT!F18="",0,DATI_INPUT!F18))</f>
        <v>4</v>
      </c>
      <c r="G15" s="16">
        <f>IFERROR(IF(OR(C15="",F15=0),"",getqs(DATI_INPUT!D18,DATI_INPUT!C6,F15)),"")</f>
        <v>0.4044402179388551</v>
      </c>
      <c r="H15" s="17">
        <f t="shared" si="0"/>
        <v>571.76388787183282</v>
      </c>
    </row>
    <row r="16" spans="1:8" ht="15" customHeight="1" x14ac:dyDescent="0.25">
      <c r="A16" s="4">
        <v>7</v>
      </c>
      <c r="B16" s="4">
        <f>DATI_INPUT!B19</f>
        <v>0</v>
      </c>
      <c r="C16" s="4">
        <f>DATI_INPUT!C19</f>
        <v>2</v>
      </c>
      <c r="D16" s="4">
        <f>IFERROR(DATI_INPUT!L19,1.5)</f>
        <v>1.5</v>
      </c>
      <c r="E16" s="9">
        <f>D16*DATI_INPUT!C5</f>
        <v>0.22499999999999998</v>
      </c>
      <c r="F16" s="9">
        <f>IFERROR(IF(DATI_INPUT!I19="Sì",getpl_fromnspt(DATI_INPUT!D19,DATI_INPUT!H19),IF(DATI_INPUT!F19="",0,DATI_INPUT!F19)),IF(DATI_INPUT!F19="",0,DATI_INPUT!F19))</f>
        <v>2</v>
      </c>
      <c r="G16" s="9">
        <f>IFERROR(IF(OR(C16="",F16=0),"",getqs(DATI_INPUT!D19,DATI_INPUT!C6,F16)),"")</f>
        <v>0.29007307949334854</v>
      </c>
      <c r="H16" s="10">
        <f t="shared" si="0"/>
        <v>410.08115499321224</v>
      </c>
    </row>
    <row r="17" spans="1:8" ht="15" customHeight="1" x14ac:dyDescent="0.25">
      <c r="A17" s="15">
        <v>8</v>
      </c>
      <c r="B17" s="15">
        <f>DATI_INPUT!B20</f>
        <v>0</v>
      </c>
      <c r="C17" s="15">
        <f>DATI_INPUT!C20</f>
        <v>2</v>
      </c>
      <c r="D17" s="15">
        <f>IFERROR(DATI_INPUT!L20,1.5)</f>
        <v>1.5</v>
      </c>
      <c r="E17" s="16">
        <f>D17*DATI_INPUT!C5</f>
        <v>0.22499999999999998</v>
      </c>
      <c r="F17" s="16">
        <f>IFERROR(IF(DATI_INPUT!I20="Sì",getpl_fromnspt(DATI_INPUT!D20,DATI_INPUT!H20),IF(DATI_INPUT!F20="",0,DATI_INPUT!F20)),IF(DATI_INPUT!F20="",0,DATI_INPUT!F20))</f>
        <v>3</v>
      </c>
      <c r="G17" s="16">
        <f>IFERROR(IF(OR(C17="",F17=0),"",getqs(DATI_INPUT!D20,DATI_INPUT!C6,F17)),"")</f>
        <v>0.41883573812024932</v>
      </c>
      <c r="H17" s="17">
        <f t="shared" si="0"/>
        <v>592.11507507274507</v>
      </c>
    </row>
    <row r="18" spans="1:8" ht="15" customHeight="1" x14ac:dyDescent="0.25">
      <c r="A18" s="4">
        <v>9</v>
      </c>
      <c r="B18" s="4">
        <f>DATI_INPUT!B21</f>
        <v>0</v>
      </c>
      <c r="C18" s="4">
        <f>DATI_INPUT!C21</f>
        <v>0</v>
      </c>
      <c r="D18" s="4">
        <f>IFERROR(DATI_INPUT!L21,1.5)</f>
        <v>1.5</v>
      </c>
      <c r="E18" s="9">
        <f>D18*DATI_INPUT!C5</f>
        <v>0.22499999999999998</v>
      </c>
      <c r="F18" s="9">
        <f>IFERROR(IF(DATI_INPUT!I21="Sì",getpl_fromnspt(DATI_INPUT!D21,DATI_INPUT!H21),IF(DATI_INPUT!F21="",0,DATI_INPUT!F21)),IF(DATI_INPUT!F21="",0,DATI_INPUT!F21))</f>
        <v>0</v>
      </c>
      <c r="G18" s="9" t="str">
        <f>IFERROR(IF(OR(C18="",F18=0),"",getqs(DATI_INPUT!D21,DATI_INPUT!C6,F18)),"")</f>
        <v/>
      </c>
      <c r="H18" s="10">
        <f t="shared" si="0"/>
        <v>0</v>
      </c>
    </row>
    <row r="19" spans="1:8" ht="15" customHeight="1" x14ac:dyDescent="0.25">
      <c r="A19" s="15">
        <v>10</v>
      </c>
      <c r="B19" s="15">
        <f>DATI_INPUT!B22</f>
        <v>0</v>
      </c>
      <c r="C19" s="15">
        <f>DATI_INPUT!C22</f>
        <v>0</v>
      </c>
      <c r="D19" s="15">
        <f>IFERROR(DATI_INPUT!L22,1.5)</f>
        <v>1.5</v>
      </c>
      <c r="E19" s="16">
        <f>D19*DATI_INPUT!C5</f>
        <v>0.22499999999999998</v>
      </c>
      <c r="F19" s="16">
        <f>IFERROR(IF(DATI_INPUT!I22="Sì",getpl_fromnspt(DATI_INPUT!D22,DATI_INPUT!H22),IF(DATI_INPUT!F22="",0,DATI_INPUT!F22)),IF(DATI_INPUT!F22="",0,DATI_INPUT!F22))</f>
        <v>0</v>
      </c>
      <c r="G19" s="16" t="str">
        <f>IFERROR(IF(OR(C19="",F19=0),"",getqs(DATI_INPUT!D22,DATI_INPUT!C6,F19)),"")</f>
        <v/>
      </c>
      <c r="H19" s="17">
        <f t="shared" si="0"/>
        <v>0</v>
      </c>
    </row>
    <row r="20" spans="1:8" ht="15" customHeight="1" x14ac:dyDescent="0.25">
      <c r="A20" s="80" t="s">
        <v>48</v>
      </c>
      <c r="B20" s="80"/>
      <c r="C20" s="80"/>
      <c r="D20" s="80"/>
      <c r="E20" s="80"/>
      <c r="F20" s="80"/>
      <c r="G20" s="80"/>
      <c r="H20" s="14">
        <f>SUM(H10:H19)</f>
        <v>3542.7293452496174</v>
      </c>
    </row>
    <row r="21" spans="1:8" ht="15" customHeight="1" x14ac:dyDescent="0.25">
      <c r="A21" s="81" t="s">
        <v>49</v>
      </c>
      <c r="B21" s="81"/>
      <c r="C21" s="81"/>
      <c r="D21" s="81"/>
      <c r="E21" s="81"/>
      <c r="F21" s="81"/>
      <c r="G21" s="81"/>
      <c r="H21" s="17">
        <f>D7*H20</f>
        <v>531.40940178744256</v>
      </c>
    </row>
    <row r="22" spans="1:8" ht="15" customHeight="1" x14ac:dyDescent="0.25">
      <c r="A22" s="82" t="s">
        <v>50</v>
      </c>
      <c r="B22" s="82"/>
      <c r="C22" s="82"/>
      <c r="D22" s="82"/>
      <c r="E22" s="82"/>
      <c r="F22" s="82"/>
      <c r="G22" s="82"/>
      <c r="H22" s="14">
        <f>H20+H21</f>
        <v>4074.1387470370601</v>
      </c>
    </row>
  </sheetData>
  <mergeCells count="10">
    <mergeCell ref="A1:H1"/>
    <mergeCell ref="A2:H2"/>
    <mergeCell ref="A4:H4"/>
    <mergeCell ref="A5:C5"/>
    <mergeCell ref="A6:C6"/>
    <mergeCell ref="A7:C7"/>
    <mergeCell ref="E7:H7"/>
    <mergeCell ref="A20:G20"/>
    <mergeCell ref="A21:G21"/>
    <mergeCell ref="A22:G22"/>
  </mergeCells>
  <pageMargins left="0.75" right="0.75" top="1" bottom="1" header="0.511811023622047" footer="0.511811023622047"/>
  <pageSetup paperSize="9" scale="95" fitToHeight="0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G29"/>
  <sheetViews>
    <sheetView zoomScale="55" zoomScaleNormal="55" workbookViewId="0">
      <selection activeCell="G29" sqref="A1:G29"/>
    </sheetView>
  </sheetViews>
  <sheetFormatPr defaultColWidth="8.7109375" defaultRowHeight="15" x14ac:dyDescent="0.25"/>
  <cols>
    <col min="1" max="1" width="35" customWidth="1"/>
    <col min="2" max="2" width="5" customWidth="1"/>
    <col min="3" max="3" width="14" customWidth="1"/>
    <col min="4" max="4" width="28" customWidth="1"/>
    <col min="5" max="5" width="5" customWidth="1"/>
    <col min="6" max="6" width="10.7109375" bestFit="1" customWidth="1"/>
    <col min="7" max="7" width="5" customWidth="1"/>
  </cols>
  <sheetData>
    <row r="1" spans="1:7" ht="27.75" customHeight="1" x14ac:dyDescent="0.25">
      <c r="A1" s="89" t="s">
        <v>52</v>
      </c>
      <c r="B1" s="89"/>
      <c r="C1" s="89"/>
      <c r="D1" s="89"/>
      <c r="E1" s="89"/>
      <c r="F1" s="89"/>
      <c r="G1" s="89"/>
    </row>
    <row r="2" spans="1:7" ht="31.5" customHeight="1" x14ac:dyDescent="0.25">
      <c r="A2" s="90" t="s">
        <v>53</v>
      </c>
      <c r="B2" s="90"/>
      <c r="C2" s="90"/>
      <c r="D2" s="90"/>
      <c r="E2" s="90"/>
      <c r="F2" s="90"/>
      <c r="G2" s="90"/>
    </row>
    <row r="4" spans="1:7" ht="19.5" customHeight="1" x14ac:dyDescent="0.25">
      <c r="A4" s="88" t="s">
        <v>54</v>
      </c>
      <c r="B4" s="88"/>
      <c r="C4" s="88"/>
      <c r="D4" s="88"/>
      <c r="E4" s="88"/>
      <c r="F4" s="88"/>
      <c r="G4" s="88"/>
    </row>
    <row r="5" spans="1:7" ht="15" customHeight="1" x14ac:dyDescent="0.25">
      <c r="A5" s="18" t="s">
        <v>55</v>
      </c>
      <c r="B5" s="18" t="s">
        <v>56</v>
      </c>
      <c r="C5" s="18" t="s">
        <v>57</v>
      </c>
      <c r="D5" s="18" t="s">
        <v>58</v>
      </c>
      <c r="E5" s="18" t="s">
        <v>59</v>
      </c>
      <c r="F5" s="18" t="s">
        <v>34</v>
      </c>
    </row>
    <row r="6" spans="1:7" ht="15" customHeight="1" x14ac:dyDescent="0.25">
      <c r="A6" s="19">
        <v>1</v>
      </c>
      <c r="B6" s="19">
        <v>1.4</v>
      </c>
      <c r="C6" s="19">
        <v>1.4</v>
      </c>
      <c r="D6" s="19">
        <v>1.4</v>
      </c>
      <c r="E6" s="19">
        <v>1.4</v>
      </c>
      <c r="F6" s="19" t="s">
        <v>60</v>
      </c>
    </row>
    <row r="7" spans="1:7" ht="15" customHeight="1" x14ac:dyDescent="0.25">
      <c r="A7" s="4">
        <v>2</v>
      </c>
      <c r="B7" s="4">
        <v>1.3</v>
      </c>
      <c r="C7" s="4">
        <v>1.2</v>
      </c>
      <c r="D7" s="4">
        <v>1.2</v>
      </c>
      <c r="E7" s="4">
        <v>1.05</v>
      </c>
      <c r="F7" s="4"/>
    </row>
    <row r="8" spans="1:7" ht="15" customHeight="1" x14ac:dyDescent="0.25">
      <c r="A8" s="19">
        <v>3</v>
      </c>
      <c r="B8" s="19">
        <v>1.2</v>
      </c>
      <c r="C8" s="19">
        <v>1.05</v>
      </c>
      <c r="D8" s="19">
        <v>1.05</v>
      </c>
      <c r="E8" s="19">
        <v>1</v>
      </c>
      <c r="F8" s="19"/>
    </row>
    <row r="9" spans="1:7" ht="15" customHeight="1" x14ac:dyDescent="0.25">
      <c r="A9" s="4">
        <v>5</v>
      </c>
      <c r="B9" s="4">
        <v>1.1499999999999999</v>
      </c>
      <c r="C9" s="4">
        <v>1.05</v>
      </c>
      <c r="D9" s="4">
        <v>1.05</v>
      </c>
      <c r="E9" s="4">
        <v>1</v>
      </c>
      <c r="F9" s="4"/>
    </row>
    <row r="10" spans="1:7" ht="15" customHeight="1" x14ac:dyDescent="0.25">
      <c r="A10" s="19">
        <v>7</v>
      </c>
      <c r="B10" s="19">
        <v>1.1200000000000001</v>
      </c>
      <c r="C10" s="19">
        <v>1</v>
      </c>
      <c r="D10" s="19">
        <v>1</v>
      </c>
      <c r="E10" s="19">
        <v>1</v>
      </c>
      <c r="F10" s="19"/>
    </row>
    <row r="11" spans="1:7" ht="15" customHeight="1" x14ac:dyDescent="0.25">
      <c r="A11" s="4">
        <v>10</v>
      </c>
      <c r="B11" s="4">
        <v>1.08</v>
      </c>
      <c r="C11" s="4">
        <v>1</v>
      </c>
      <c r="D11" s="4">
        <v>1</v>
      </c>
      <c r="E11" s="4">
        <v>1</v>
      </c>
      <c r="F11" s="4" t="s">
        <v>61</v>
      </c>
    </row>
    <row r="13" spans="1:7" ht="19.5" customHeight="1" x14ac:dyDescent="0.25">
      <c r="A13" s="88" t="s">
        <v>62</v>
      </c>
      <c r="B13" s="88"/>
      <c r="C13" s="88"/>
      <c r="D13" s="88"/>
      <c r="E13" s="88"/>
      <c r="F13" s="88"/>
      <c r="G13" s="88"/>
    </row>
    <row r="14" spans="1:7" ht="15" customHeight="1" x14ac:dyDescent="0.25">
      <c r="A14" s="18" t="s">
        <v>63</v>
      </c>
      <c r="B14" s="18" t="s">
        <v>64</v>
      </c>
      <c r="C14" s="91" t="s">
        <v>34</v>
      </c>
      <c r="D14" s="91"/>
      <c r="E14" s="91"/>
      <c r="F14" s="91"/>
      <c r="G14" s="91"/>
    </row>
    <row r="15" spans="1:7" ht="15" customHeight="1" x14ac:dyDescent="0.25">
      <c r="A15" s="20" t="s">
        <v>65</v>
      </c>
      <c r="B15" s="21">
        <v>1.1499999999999999</v>
      </c>
      <c r="C15" s="86" t="s">
        <v>66</v>
      </c>
      <c r="D15" s="86"/>
      <c r="E15" s="86"/>
      <c r="F15" s="86"/>
      <c r="G15" s="86"/>
    </row>
    <row r="16" spans="1:7" ht="15" customHeight="1" x14ac:dyDescent="0.25">
      <c r="A16" s="22" t="s">
        <v>67</v>
      </c>
      <c r="B16" s="23">
        <v>1.25</v>
      </c>
      <c r="C16" s="87"/>
      <c r="D16" s="87"/>
      <c r="E16" s="87"/>
      <c r="F16" s="87"/>
      <c r="G16" s="87"/>
    </row>
    <row r="17" spans="1:7" ht="15" customHeight="1" x14ac:dyDescent="0.25">
      <c r="A17" s="20" t="s">
        <v>68</v>
      </c>
      <c r="B17" s="21">
        <v>1.1499999999999999</v>
      </c>
      <c r="C17" s="86"/>
      <c r="D17" s="86"/>
      <c r="E17" s="86"/>
      <c r="F17" s="86"/>
      <c r="G17" s="86"/>
    </row>
    <row r="19" spans="1:7" ht="19.5" customHeight="1" x14ac:dyDescent="0.25">
      <c r="A19" s="88" t="s">
        <v>69</v>
      </c>
      <c r="B19" s="88"/>
      <c r="C19" s="88"/>
      <c r="D19" s="88"/>
      <c r="E19" s="88"/>
      <c r="F19" s="88"/>
      <c r="G19" s="88"/>
    </row>
    <row r="20" spans="1:7" ht="15" customHeight="1" x14ac:dyDescent="0.25">
      <c r="A20" s="84" t="s">
        <v>70</v>
      </c>
      <c r="B20" s="84"/>
      <c r="C20" s="34">
        <f>DATI_INPUT!C8</f>
        <v>1</v>
      </c>
    </row>
    <row r="21" spans="1:7" ht="15" customHeight="1" x14ac:dyDescent="0.25">
      <c r="A21" s="85" t="s">
        <v>71</v>
      </c>
      <c r="B21" s="85"/>
      <c r="C21" s="34">
        <f>'CALCOLO-Qmedio'!H20</f>
        <v>3953.7772939199658</v>
      </c>
    </row>
    <row r="22" spans="1:7" ht="15" customHeight="1" x14ac:dyDescent="0.25">
      <c r="A22" s="84" t="s">
        <v>72</v>
      </c>
      <c r="B22" s="84"/>
      <c r="C22" s="34">
        <f>'CALCOLO-Qminimo'!H20</f>
        <v>3542.7293452496174</v>
      </c>
    </row>
    <row r="23" spans="1:7" ht="15" customHeight="1" x14ac:dyDescent="0.25">
      <c r="A23" s="85" t="s">
        <v>73</v>
      </c>
      <c r="B23" s="85"/>
      <c r="C23" s="35">
        <f>INDEX(D6:D11,MATCH(C20,A6:A11,1))</f>
        <v>1.4</v>
      </c>
    </row>
    <row r="24" spans="1:7" ht="15" customHeight="1" x14ac:dyDescent="0.25">
      <c r="A24" s="84" t="s">
        <v>74</v>
      </c>
      <c r="B24" s="84"/>
      <c r="C24" s="35">
        <f>INDEX(E6:E11,MATCH(C20,A6:A11,1))</f>
        <v>1.4</v>
      </c>
    </row>
    <row r="25" spans="1:7" ht="15" customHeight="1" x14ac:dyDescent="0.25">
      <c r="A25" s="85" t="s">
        <v>75</v>
      </c>
      <c r="B25" s="85"/>
      <c r="C25" s="35">
        <f>IFERROR(C21/C23,"")</f>
        <v>2824.1266385142617</v>
      </c>
    </row>
    <row r="26" spans="1:7" ht="15" customHeight="1" x14ac:dyDescent="0.25">
      <c r="A26" s="84" t="s">
        <v>76</v>
      </c>
      <c r="B26" s="84"/>
      <c r="C26" s="35">
        <f>IFERROR(C22/C24,"")</f>
        <v>2530.5209608925838</v>
      </c>
    </row>
    <row r="27" spans="1:7" ht="15" customHeight="1" x14ac:dyDescent="0.25">
      <c r="A27" s="85" t="s">
        <v>77</v>
      </c>
      <c r="B27" s="85"/>
      <c r="C27" s="36">
        <f>IFERROR(MIN(C25,C26),"")</f>
        <v>2530.5209608925838</v>
      </c>
    </row>
    <row r="28" spans="1:7" ht="15" customHeight="1" x14ac:dyDescent="0.25">
      <c r="A28" s="84" t="s">
        <v>78</v>
      </c>
      <c r="B28" s="84"/>
      <c r="C28" s="37">
        <v>1.1499999999999999</v>
      </c>
    </row>
    <row r="29" spans="1:7" ht="15" customHeight="1" x14ac:dyDescent="0.25">
      <c r="A29" s="85" t="s">
        <v>79</v>
      </c>
      <c r="B29" s="85"/>
      <c r="C29" s="38">
        <f>IFERROR(C27/C28,"")</f>
        <v>2200.453009471812</v>
      </c>
    </row>
  </sheetData>
  <mergeCells count="19">
    <mergeCell ref="A1:G1"/>
    <mergeCell ref="A2:G2"/>
    <mergeCell ref="A4:G4"/>
    <mergeCell ref="A13:G13"/>
    <mergeCell ref="C14:G14"/>
    <mergeCell ref="C15:G15"/>
    <mergeCell ref="C16:G16"/>
    <mergeCell ref="C17:G17"/>
    <mergeCell ref="A19:G19"/>
    <mergeCell ref="A20:B20"/>
    <mergeCell ref="A26:B26"/>
    <mergeCell ref="A27:B27"/>
    <mergeCell ref="A28:B28"/>
    <mergeCell ref="A29:B29"/>
    <mergeCell ref="A21:B21"/>
    <mergeCell ref="A22:B22"/>
    <mergeCell ref="A23:B23"/>
    <mergeCell ref="A24:B24"/>
    <mergeCell ref="A25:B25"/>
  </mergeCells>
  <pageMargins left="0.75" right="0.75" top="1" bottom="1" header="0.511811023622047" footer="0.511811023622047"/>
  <pageSetup paperSize="9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N59"/>
  <sheetViews>
    <sheetView zoomScaleNormal="10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8" t="s">
        <v>80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ht="31.5" customHeight="1" x14ac:dyDescent="0.25">
      <c r="A2" s="55" t="s">
        <v>81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4" spans="1:14" ht="15" customHeight="1" x14ac:dyDescent="0.25">
      <c r="A4" s="24" t="s">
        <v>82</v>
      </c>
      <c r="C4" s="24" t="s">
        <v>83</v>
      </c>
      <c r="E4" s="24" t="s">
        <v>84</v>
      </c>
      <c r="G4" s="24" t="s">
        <v>85</v>
      </c>
      <c r="I4" s="25" t="s">
        <v>86</v>
      </c>
    </row>
    <row r="5" spans="1:14" ht="34.5" customHeight="1" x14ac:dyDescent="0.25">
      <c r="A5" s="26" t="s">
        <v>87</v>
      </c>
      <c r="B5" s="26" t="s">
        <v>88</v>
      </c>
      <c r="C5" s="26" t="s">
        <v>87</v>
      </c>
      <c r="D5" s="26" t="s">
        <v>88</v>
      </c>
      <c r="E5" s="26" t="s">
        <v>87</v>
      </c>
      <c r="F5" s="26" t="s">
        <v>88</v>
      </c>
      <c r="G5" s="26" t="s">
        <v>87</v>
      </c>
      <c r="H5" s="26" t="s">
        <v>88</v>
      </c>
      <c r="I5" s="27" t="s">
        <v>23</v>
      </c>
      <c r="J5" s="27" t="s">
        <v>24</v>
      </c>
      <c r="K5" s="27" t="s">
        <v>27</v>
      </c>
      <c r="L5" s="27" t="s">
        <v>89</v>
      </c>
      <c r="M5" s="27" t="s">
        <v>28</v>
      </c>
      <c r="N5" s="27" t="s">
        <v>90</v>
      </c>
    </row>
    <row r="6" spans="1:14" ht="15" customHeight="1" x14ac:dyDescent="0.25">
      <c r="A6">
        <v>0.25440000000000002</v>
      </c>
      <c r="B6">
        <v>7.8100000000000003E-2</v>
      </c>
      <c r="C6">
        <v>0.251</v>
      </c>
      <c r="D6">
        <v>2.41E-2</v>
      </c>
      <c r="E6">
        <v>1.2471000000000001</v>
      </c>
      <c r="F6">
        <v>0.17599999999999999</v>
      </c>
      <c r="G6">
        <v>0.42259999999999998</v>
      </c>
      <c r="H6">
        <v>2.9000000000000001E-2</v>
      </c>
      <c r="I6" s="28" t="e">
        <f>IF(DATI_INPUT!D13="SG",DATI_INPUT!A13,NA())</f>
        <v>#N/A</v>
      </c>
      <c r="J6" s="29" t="e">
        <f>IF(DATI_INPUT!D13="SG",DATI_INPUT!B13,NA())</f>
        <v>#N/A</v>
      </c>
      <c r="K6" s="30" t="e">
        <f>IF(DATI_INPUT!D13="SG",IFERROR('CALCOLO-Qmedio'!F10,NA()),NA())</f>
        <v>#N/A</v>
      </c>
      <c r="L6" s="30" t="e">
        <f>IF(DATI_INPUT!D13="SG",IFERROR('CALCOLO-Qmedio'!G10,NA()),NA())</f>
        <v>#N/A</v>
      </c>
      <c r="M6" s="30" t="e">
        <f>IF(DATI_INPUT!D13="SG",IFERROR('CALCOLO-Qminimo'!F10,NA()),NA())</f>
        <v>#N/A</v>
      </c>
      <c r="N6" s="30" t="e">
        <f>IF(DATI_INPUT!D13="SG",IFERROR('CALCOLO-Qminimo'!G10,NA()),NA())</f>
        <v>#N/A</v>
      </c>
    </row>
    <row r="7" spans="1:14" ht="15" customHeight="1" x14ac:dyDescent="0.25">
      <c r="A7">
        <v>6.8914999999999997</v>
      </c>
      <c r="B7">
        <v>0.83420000000000005</v>
      </c>
      <c r="C7">
        <v>6.9557000000000002</v>
      </c>
      <c r="D7">
        <v>0.78649999999999998</v>
      </c>
      <c r="E7">
        <v>1.353</v>
      </c>
      <c r="F7">
        <v>0.19589999999999999</v>
      </c>
      <c r="G7">
        <v>0.74819999999999998</v>
      </c>
      <c r="H7">
        <v>8.3799999999999999E-2</v>
      </c>
      <c r="I7" s="31" t="e">
        <f>IF(DATI_INPUT!D14="SG",DATI_INPUT!A14,NA())</f>
        <v>#N/A</v>
      </c>
      <c r="J7" s="32" t="e">
        <f>IF(DATI_INPUT!D14="SG",DATI_INPUT!B14,NA())</f>
        <v>#N/A</v>
      </c>
      <c r="K7" s="33" t="e">
        <f>IF(DATI_INPUT!D14="SG",IFERROR('CALCOLO-Qmedio'!F11,NA()),NA())</f>
        <v>#N/A</v>
      </c>
      <c r="L7" s="33" t="e">
        <f>IF(DATI_INPUT!D14="SG",IFERROR('CALCOLO-Qmedio'!G11,NA()),NA())</f>
        <v>#N/A</v>
      </c>
      <c r="M7" s="33" t="e">
        <f>IF(DATI_INPUT!D14="SG",IFERROR('CALCOLO-Qminimo'!F11,NA()),NA())</f>
        <v>#N/A</v>
      </c>
      <c r="N7" s="33" t="e">
        <f>IF(DATI_INPUT!D14="SG",IFERROR('CALCOLO-Qminimo'!G11,NA()),NA())</f>
        <v>#N/A</v>
      </c>
    </row>
    <row r="8" spans="1:14" ht="15" customHeight="1" x14ac:dyDescent="0.25">
      <c r="E8">
        <v>1.5022</v>
      </c>
      <c r="F8">
        <v>9.7100000000000006E-2</v>
      </c>
      <c r="G8">
        <v>1.4185000000000001</v>
      </c>
      <c r="H8">
        <v>0.14069999999999999</v>
      </c>
      <c r="I8" s="28">
        <f>IF(DATI_INPUT!D15="SG",DATI_INPUT!A15,NA())</f>
        <v>3</v>
      </c>
      <c r="J8" s="29">
        <f>IF(DATI_INPUT!D15="SG",DATI_INPUT!B15,NA())</f>
        <v>0</v>
      </c>
      <c r="K8" s="30">
        <f>IF(DATI_INPUT!D15="SG",IFERROR('CALCOLO-Qmedio'!F12,NA()),NA())</f>
        <v>1</v>
      </c>
      <c r="L8" s="30">
        <f>IF(DATI_INPUT!D15="SG",IFERROR('CALCOLO-Qmedio'!G12,NA()),NA())</f>
        <v>0.16303892814632898</v>
      </c>
      <c r="M8" s="30">
        <f>IF(DATI_INPUT!D15="SG",IFERROR('CALCOLO-Qminimo'!F12,NA()),NA())</f>
        <v>2</v>
      </c>
      <c r="N8" s="30">
        <f>IF(DATI_INPUT!D15="SG",IFERROR('CALCOLO-Qminimo'!G12,NA()),NA())</f>
        <v>0.2769591643940878</v>
      </c>
    </row>
    <row r="9" spans="1:14" ht="15" customHeight="1" x14ac:dyDescent="0.25">
      <c r="E9">
        <v>1.4990000000000001</v>
      </c>
      <c r="F9">
        <v>0.13689999999999999</v>
      </c>
      <c r="G9">
        <v>1.385</v>
      </c>
      <c r="H9">
        <v>0.1605</v>
      </c>
      <c r="I9" s="31">
        <f>IF(DATI_INPUT!D16="SG",DATI_INPUT!A16,NA())</f>
        <v>4</v>
      </c>
      <c r="J9" s="32">
        <f>IF(DATI_INPUT!D16="SG",DATI_INPUT!B16,NA())</f>
        <v>0</v>
      </c>
      <c r="K9" s="33">
        <f>IF(DATI_INPUT!D16="SG",IFERROR('CALCOLO-Qmedio'!F13,NA()),NA())</f>
        <v>2</v>
      </c>
      <c r="L9" s="33">
        <f>IF(DATI_INPUT!D16="SG",IFERROR('CALCOLO-Qmedio'!G13,NA()),NA())</f>
        <v>0.2769591643940878</v>
      </c>
      <c r="M9" s="33">
        <f>IF(DATI_INPUT!D16="SG",IFERROR('CALCOLO-Qminimo'!F13,NA()),NA())</f>
        <v>1</v>
      </c>
      <c r="N9" s="33">
        <f>IF(DATI_INPUT!D16="SG",IFERROR('CALCOLO-Qminimo'!G13,NA()),NA())</f>
        <v>0.16303892814632898</v>
      </c>
    </row>
    <row r="10" spans="1:14" ht="15" customHeight="1" x14ac:dyDescent="0.25">
      <c r="E10">
        <v>1.6209</v>
      </c>
      <c r="F10">
        <v>0.1547</v>
      </c>
      <c r="G10">
        <v>1.377</v>
      </c>
      <c r="H10">
        <v>0.23480000000000001</v>
      </c>
      <c r="I10" s="28" t="e">
        <f>IF(DATI_INPUT!D17="SG",DATI_INPUT!A17,NA())</f>
        <v>#N/A</v>
      </c>
      <c r="J10" s="29" t="e">
        <f>IF(DATI_INPUT!D17="SG",DATI_INPUT!B17,NA())</f>
        <v>#N/A</v>
      </c>
      <c r="K10" s="30" t="e">
        <f>IF(DATI_INPUT!D17="SG",IFERROR('CALCOLO-Qmedio'!F14,NA()),NA())</f>
        <v>#N/A</v>
      </c>
      <c r="L10" s="30" t="e">
        <f>IF(DATI_INPUT!D17="SG",IFERROR('CALCOLO-Qmedio'!G14,NA()),NA())</f>
        <v>#N/A</v>
      </c>
      <c r="M10" s="30" t="e">
        <f>IF(DATI_INPUT!D17="SG",IFERROR('CALCOLO-Qminimo'!F14,NA()),NA())</f>
        <v>#N/A</v>
      </c>
      <c r="N10" s="30" t="e">
        <f>IF(DATI_INPUT!D17="SG",IFERROR('CALCOLO-Qminimo'!G14,NA()),NA())</f>
        <v>#N/A</v>
      </c>
    </row>
    <row r="11" spans="1:14" ht="15" customHeight="1" x14ac:dyDescent="0.25">
      <c r="E11">
        <v>1.8503000000000001</v>
      </c>
      <c r="F11">
        <v>0.25919999999999999</v>
      </c>
      <c r="G11">
        <v>1.5031000000000001</v>
      </c>
      <c r="H11">
        <v>0.23580000000000001</v>
      </c>
      <c r="I11" s="31" t="e">
        <f>IF(DATI_INPUT!D18="SG",DATI_INPUT!A18,NA())</f>
        <v>#N/A</v>
      </c>
      <c r="J11" s="32" t="e">
        <f>IF(DATI_INPUT!D18="SG",DATI_INPUT!B18,NA())</f>
        <v>#N/A</v>
      </c>
      <c r="K11" s="33" t="e">
        <f>IF(DATI_INPUT!D18="SG",IFERROR('CALCOLO-Qmedio'!F15,NA()),NA())</f>
        <v>#N/A</v>
      </c>
      <c r="L11" s="33" t="e">
        <f>IF(DATI_INPUT!D18="SG",IFERROR('CALCOLO-Qmedio'!G15,NA()),NA())</f>
        <v>#N/A</v>
      </c>
      <c r="M11" s="33" t="e">
        <f>IF(DATI_INPUT!D18="SG",IFERROR('CALCOLO-Qminimo'!F15,NA()),NA())</f>
        <v>#N/A</v>
      </c>
      <c r="N11" s="33" t="e">
        <f>IF(DATI_INPUT!D18="SG",IFERROR('CALCOLO-Qminimo'!G15,NA()),NA())</f>
        <v>#N/A</v>
      </c>
    </row>
    <row r="12" spans="1:14" ht="15" customHeight="1" x14ac:dyDescent="0.25">
      <c r="E12">
        <v>1.9369000000000001</v>
      </c>
      <c r="F12">
        <v>0.2596</v>
      </c>
      <c r="G12">
        <v>1.4806999999999999</v>
      </c>
      <c r="H12">
        <v>0.157</v>
      </c>
      <c r="I12" s="28" t="e">
        <f>IF(DATI_INPUT!D19="SG",DATI_INPUT!A19,NA())</f>
        <v>#N/A</v>
      </c>
      <c r="J12" s="29" t="e">
        <f>IF(DATI_INPUT!D19="SG",DATI_INPUT!B19,NA())</f>
        <v>#N/A</v>
      </c>
      <c r="K12" s="30" t="e">
        <f>IF(DATI_INPUT!D19="SG",IFERROR('CALCOLO-Qmedio'!F16,NA()),NA())</f>
        <v>#N/A</v>
      </c>
      <c r="L12" s="30" t="e">
        <f>IF(DATI_INPUT!D19="SG",IFERROR('CALCOLO-Qmedio'!G16,NA()),NA())</f>
        <v>#N/A</v>
      </c>
      <c r="M12" s="30" t="e">
        <f>IF(DATI_INPUT!D19="SG",IFERROR('CALCOLO-Qminimo'!F16,NA()),NA())</f>
        <v>#N/A</v>
      </c>
      <c r="N12" s="30" t="e">
        <f>IF(DATI_INPUT!D19="SG",IFERROR('CALCOLO-Qminimo'!G16,NA()),NA())</f>
        <v>#N/A</v>
      </c>
    </row>
    <row r="13" spans="1:14" ht="15" customHeight="1" x14ac:dyDescent="0.25">
      <c r="E13">
        <v>1.9995000000000001</v>
      </c>
      <c r="F13">
        <v>0.25030000000000002</v>
      </c>
      <c r="G13">
        <v>1.5621</v>
      </c>
      <c r="H13">
        <v>0.16650000000000001</v>
      </c>
      <c r="I13" s="31" t="e">
        <f>IF(DATI_INPUT!D20="SG",DATI_INPUT!A20,NA())</f>
        <v>#N/A</v>
      </c>
      <c r="J13" s="32" t="e">
        <f>IF(DATI_INPUT!D20="SG",DATI_INPUT!B20,NA())</f>
        <v>#N/A</v>
      </c>
      <c r="K13" s="33" t="e">
        <f>IF(DATI_INPUT!D20="SG",IFERROR('CALCOLO-Qmedio'!F17,NA()),NA())</f>
        <v>#N/A</v>
      </c>
      <c r="L13" s="33" t="e">
        <f>IF(DATI_INPUT!D20="SG",IFERROR('CALCOLO-Qmedio'!G17,NA()),NA())</f>
        <v>#N/A</v>
      </c>
      <c r="M13" s="33" t="e">
        <f>IF(DATI_INPUT!D20="SG",IFERROR('CALCOLO-Qminimo'!F17,NA()),NA())</f>
        <v>#N/A</v>
      </c>
      <c r="N13" s="33" t="e">
        <f>IF(DATI_INPUT!D20="SG",IFERROR('CALCOLO-Qminimo'!G17,NA()),NA())</f>
        <v>#N/A</v>
      </c>
    </row>
    <row r="14" spans="1:14" ht="15" customHeight="1" x14ac:dyDescent="0.25">
      <c r="E14">
        <v>2.0026999999999999</v>
      </c>
      <c r="F14">
        <v>0.26669999999999999</v>
      </c>
      <c r="G14">
        <v>1.6307</v>
      </c>
      <c r="H14">
        <v>0.2341</v>
      </c>
      <c r="I14" s="28" t="e">
        <f>IF(DATI_INPUT!D21="SG",DATI_INPUT!A21,NA())</f>
        <v>#N/A</v>
      </c>
      <c r="J14" s="29" t="e">
        <f>IF(DATI_INPUT!D21="SG",DATI_INPUT!B21,NA())</f>
        <v>#N/A</v>
      </c>
      <c r="K14" s="30" t="e">
        <f>IF(DATI_INPUT!D21="SG",IFERROR('CALCOLO-Qmedio'!F18,NA()),NA())</f>
        <v>#N/A</v>
      </c>
      <c r="L14" s="30" t="e">
        <f>IF(DATI_INPUT!D21="SG",IFERROR('CALCOLO-Qmedio'!G18,NA()),NA())</f>
        <v>#N/A</v>
      </c>
      <c r="M14" s="30" t="e">
        <f>IF(DATI_INPUT!D21="SG",IFERROR('CALCOLO-Qminimo'!F18,NA()),NA())</f>
        <v>#N/A</v>
      </c>
      <c r="N14" s="30" t="e">
        <f>IF(DATI_INPUT!D21="SG",IFERROR('CALCOLO-Qminimo'!G18,NA()),NA())</f>
        <v>#N/A</v>
      </c>
    </row>
    <row r="15" spans="1:14" ht="15" customHeight="1" x14ac:dyDescent="0.25">
      <c r="E15">
        <v>2.0701000000000001</v>
      </c>
      <c r="F15">
        <v>0.25919999999999999</v>
      </c>
      <c r="G15">
        <v>1.7487999999999999</v>
      </c>
      <c r="H15">
        <v>0.2379</v>
      </c>
      <c r="I15" s="31" t="e">
        <f>IF(DATI_INPUT!D22="SG",DATI_INPUT!A22,NA())</f>
        <v>#N/A</v>
      </c>
      <c r="J15" s="32" t="e">
        <f>IF(DATI_INPUT!D22="SG",DATI_INPUT!B22,NA())</f>
        <v>#N/A</v>
      </c>
      <c r="K15" s="33" t="e">
        <f>IF(DATI_INPUT!D22="SG",IFERROR('CALCOLO-Qmedio'!F19,NA()),NA())</f>
        <v>#N/A</v>
      </c>
      <c r="L15" s="33" t="e">
        <f>IF(DATI_INPUT!D22="SG",IFERROR('CALCOLO-Qmedio'!G19,NA()),NA())</f>
        <v>#N/A</v>
      </c>
      <c r="M15" s="33" t="e">
        <f>IF(DATI_INPUT!D22="SG",IFERROR('CALCOLO-Qminimo'!F19,NA()),NA())</f>
        <v>#N/A</v>
      </c>
      <c r="N15" s="33" t="e">
        <f>IF(DATI_INPUT!D22="SG",IFERROR('CALCOLO-Qminimo'!G19,NA()),NA())</f>
        <v>#N/A</v>
      </c>
    </row>
    <row r="16" spans="1:14" ht="15" customHeight="1" x14ac:dyDescent="0.25">
      <c r="E16">
        <v>2.0653000000000001</v>
      </c>
      <c r="F16">
        <v>0.32</v>
      </c>
      <c r="G16">
        <v>1.8333999999999999</v>
      </c>
      <c r="H16">
        <v>0.23019999999999999</v>
      </c>
    </row>
    <row r="17" spans="5:8" ht="15" customHeight="1" x14ac:dyDescent="0.25">
      <c r="E17">
        <v>1.9320999999999999</v>
      </c>
      <c r="F17">
        <v>0.33529999999999999</v>
      </c>
      <c r="G17">
        <v>2.0042</v>
      </c>
      <c r="H17">
        <v>0.15870000000000001</v>
      </c>
    </row>
    <row r="18" spans="5:8" ht="15" customHeight="1" x14ac:dyDescent="0.25">
      <c r="E18">
        <v>4.0015999999999998</v>
      </c>
      <c r="F18">
        <v>0.49769999999999998</v>
      </c>
      <c r="G18">
        <v>1.5031000000000001</v>
      </c>
      <c r="H18">
        <v>0.28849999999999998</v>
      </c>
    </row>
    <row r="19" spans="5:8" ht="15" customHeight="1" x14ac:dyDescent="0.25">
      <c r="E19">
        <v>4.0031999999999996</v>
      </c>
      <c r="F19">
        <v>0.54249999999999998</v>
      </c>
      <c r="G19">
        <v>1.8829</v>
      </c>
      <c r="H19">
        <v>0.28360000000000002</v>
      </c>
    </row>
    <row r="20" spans="5:8" ht="15" customHeight="1" x14ac:dyDescent="0.25">
      <c r="E20">
        <v>4.4957000000000003</v>
      </c>
      <c r="F20">
        <v>0.5091</v>
      </c>
      <c r="G20">
        <v>1.8733</v>
      </c>
      <c r="H20">
        <v>0.30969999999999998</v>
      </c>
    </row>
    <row r="21" spans="5:8" ht="15" customHeight="1" x14ac:dyDescent="0.25">
      <c r="E21">
        <v>5.0011000000000001</v>
      </c>
      <c r="F21">
        <v>0.50760000000000005</v>
      </c>
      <c r="G21">
        <v>1.9994000000000001</v>
      </c>
      <c r="H21">
        <v>0.29880000000000001</v>
      </c>
    </row>
    <row r="22" spans="5:8" ht="15" customHeight="1" x14ac:dyDescent="0.25">
      <c r="E22">
        <v>4.7460000000000004</v>
      </c>
      <c r="F22">
        <v>0.67930000000000001</v>
      </c>
      <c r="G22">
        <v>1.9978</v>
      </c>
      <c r="H22">
        <v>0.2394</v>
      </c>
    </row>
    <row r="23" spans="5:8" ht="15" customHeight="1" x14ac:dyDescent="0.25">
      <c r="E23">
        <v>4.9208999999999996</v>
      </c>
      <c r="F23">
        <v>0.73080000000000001</v>
      </c>
      <c r="G23">
        <v>1.8876999999999999</v>
      </c>
      <c r="H23">
        <v>0.33479999999999999</v>
      </c>
    </row>
    <row r="24" spans="5:8" ht="15" customHeight="1" x14ac:dyDescent="0.25">
      <c r="E24">
        <v>4.9931000000000001</v>
      </c>
      <c r="F24">
        <v>0.80579999999999996</v>
      </c>
      <c r="G24">
        <v>1.7456</v>
      </c>
      <c r="H24">
        <v>0.35289999999999999</v>
      </c>
    </row>
    <row r="25" spans="5:8" ht="15" customHeight="1" x14ac:dyDescent="0.25">
      <c r="E25">
        <v>1.4316</v>
      </c>
      <c r="F25">
        <v>0.15140000000000001</v>
      </c>
      <c r="G25">
        <v>2.4638</v>
      </c>
      <c r="H25">
        <v>0.34189999999999998</v>
      </c>
    </row>
    <row r="26" spans="5:8" ht="15" customHeight="1" x14ac:dyDescent="0.25">
      <c r="E26">
        <v>2.0057</v>
      </c>
      <c r="F26">
        <v>0.223</v>
      </c>
      <c r="G26">
        <v>2.5914999999999999</v>
      </c>
      <c r="H26">
        <v>0.3412</v>
      </c>
    </row>
    <row r="27" spans="5:8" ht="15" customHeight="1" x14ac:dyDescent="0.25">
      <c r="E27">
        <v>0.50339999999999996</v>
      </c>
      <c r="F27">
        <v>0.1203</v>
      </c>
      <c r="G27">
        <v>2.8069999999999999</v>
      </c>
      <c r="H27">
        <v>0.28499999999999998</v>
      </c>
    </row>
    <row r="28" spans="5:8" ht="15" customHeight="1" x14ac:dyDescent="0.25">
      <c r="E28">
        <v>0.48880000000000001</v>
      </c>
      <c r="F28">
        <v>0.13489999999999999</v>
      </c>
      <c r="G28">
        <v>3.0065</v>
      </c>
      <c r="H28">
        <v>0.25850000000000001</v>
      </c>
    </row>
    <row r="29" spans="5:8" ht="15" customHeight="1" x14ac:dyDescent="0.25">
      <c r="E29">
        <v>0.56189999999999996</v>
      </c>
      <c r="F29">
        <v>0.13320000000000001</v>
      </c>
      <c r="G29">
        <v>3.0097</v>
      </c>
      <c r="H29">
        <v>0.29980000000000001</v>
      </c>
    </row>
    <row r="30" spans="5:8" ht="15" customHeight="1" x14ac:dyDescent="0.25">
      <c r="E30">
        <v>0.69350000000000001</v>
      </c>
      <c r="F30">
        <v>9.8400000000000001E-2</v>
      </c>
      <c r="G30">
        <v>3.9975999999999998</v>
      </c>
      <c r="H30">
        <v>0.4335</v>
      </c>
    </row>
    <row r="31" spans="5:8" ht="15" customHeight="1" x14ac:dyDescent="0.25">
      <c r="E31">
        <v>0.84340000000000004</v>
      </c>
      <c r="F31">
        <v>0.15509999999999999</v>
      </c>
      <c r="G31">
        <v>3.9975999999999998</v>
      </c>
      <c r="H31">
        <v>0.48370000000000002</v>
      </c>
    </row>
    <row r="32" spans="5:8" ht="15" customHeight="1" x14ac:dyDescent="0.25">
      <c r="E32">
        <v>0.74829999999999997</v>
      </c>
      <c r="F32">
        <v>0.2077</v>
      </c>
      <c r="G32">
        <v>4.8738000000000001</v>
      </c>
      <c r="H32">
        <v>0.67849999999999999</v>
      </c>
    </row>
    <row r="33" spans="5:8" ht="15" customHeight="1" x14ac:dyDescent="0.25">
      <c r="E33">
        <v>1.1888000000000001</v>
      </c>
      <c r="F33">
        <v>0.16</v>
      </c>
      <c r="G33">
        <v>4.9950999999999999</v>
      </c>
      <c r="H33">
        <v>0.67889999999999995</v>
      </c>
    </row>
    <row r="34" spans="5:8" ht="15" customHeight="1" x14ac:dyDescent="0.25">
      <c r="E34">
        <v>2.0074999999999998</v>
      </c>
      <c r="F34">
        <v>0.36120000000000002</v>
      </c>
      <c r="G34">
        <v>1.3217000000000001</v>
      </c>
      <c r="H34">
        <v>0.35639999999999999</v>
      </c>
    </row>
    <row r="35" spans="5:8" ht="15" customHeight="1" x14ac:dyDescent="0.25">
      <c r="E35">
        <v>2.1318000000000001</v>
      </c>
      <c r="F35">
        <v>0.26850000000000002</v>
      </c>
      <c r="G35">
        <v>1.621</v>
      </c>
      <c r="H35">
        <v>0.30840000000000001</v>
      </c>
    </row>
    <row r="36" spans="5:8" ht="15" customHeight="1" x14ac:dyDescent="0.25">
      <c r="E36">
        <v>2.2067000000000001</v>
      </c>
      <c r="F36">
        <v>0.217</v>
      </c>
      <c r="G36">
        <v>1.6263000000000001</v>
      </c>
      <c r="H36">
        <v>0.33860000000000001</v>
      </c>
    </row>
    <row r="37" spans="5:8" ht="15" customHeight="1" x14ac:dyDescent="0.25">
      <c r="E37">
        <v>2.2559999999999998</v>
      </c>
      <c r="F37">
        <v>0.16239999999999999</v>
      </c>
      <c r="G37">
        <v>1.8019000000000001</v>
      </c>
      <c r="H37">
        <v>0.38779999999999998</v>
      </c>
    </row>
    <row r="38" spans="5:8" ht="15" customHeight="1" x14ac:dyDescent="0.25">
      <c r="E38">
        <v>2.2816000000000001</v>
      </c>
      <c r="F38">
        <v>0.21740000000000001</v>
      </c>
      <c r="G38">
        <v>2.008</v>
      </c>
      <c r="H38">
        <v>0.4239</v>
      </c>
    </row>
    <row r="39" spans="5:8" ht="15" customHeight="1" x14ac:dyDescent="0.25">
      <c r="E39">
        <v>2.3858000000000001</v>
      </c>
      <c r="F39">
        <v>0.22389999999999999</v>
      </c>
      <c r="G39">
        <v>3.9863</v>
      </c>
      <c r="H39">
        <v>0.68830000000000002</v>
      </c>
    </row>
    <row r="40" spans="5:8" ht="15" customHeight="1" x14ac:dyDescent="0.25">
      <c r="E40">
        <v>2.3820999999999999</v>
      </c>
      <c r="F40">
        <v>0.25109999999999999</v>
      </c>
      <c r="G40">
        <v>4.6116999999999999</v>
      </c>
      <c r="H40">
        <v>0.68910000000000005</v>
      </c>
    </row>
    <row r="41" spans="5:8" ht="15" customHeight="1" x14ac:dyDescent="0.25">
      <c r="E41">
        <v>2.2963</v>
      </c>
      <c r="F41">
        <v>0.25059999999999999</v>
      </c>
      <c r="G41">
        <v>5.9269999999999996</v>
      </c>
      <c r="H41">
        <v>0.69069999999999998</v>
      </c>
    </row>
    <row r="42" spans="5:8" ht="15" customHeight="1" x14ac:dyDescent="0.25">
      <c r="E42">
        <v>2.2542</v>
      </c>
      <c r="F42">
        <v>0.28220000000000001</v>
      </c>
      <c r="G42">
        <v>5.9825999999999997</v>
      </c>
      <c r="H42">
        <v>0.71179999999999999</v>
      </c>
    </row>
    <row r="43" spans="5:8" ht="15" customHeight="1" x14ac:dyDescent="0.25">
      <c r="E43">
        <v>2.3748</v>
      </c>
      <c r="F43">
        <v>0.27450000000000002</v>
      </c>
      <c r="G43">
        <v>4.4898999999999996</v>
      </c>
      <c r="H43">
        <v>0.79190000000000005</v>
      </c>
    </row>
    <row r="44" spans="5:8" ht="15" customHeight="1" x14ac:dyDescent="0.25">
      <c r="E44">
        <v>2.2542</v>
      </c>
      <c r="F44">
        <v>0.3009</v>
      </c>
      <c r="G44">
        <v>4.9916</v>
      </c>
      <c r="H44">
        <v>0.77959999999999996</v>
      </c>
    </row>
    <row r="45" spans="5:8" ht="15" customHeight="1" x14ac:dyDescent="0.25">
      <c r="E45">
        <v>2.5009000000000001</v>
      </c>
      <c r="F45">
        <v>0.30809999999999998</v>
      </c>
      <c r="G45">
        <v>5.9987000000000004</v>
      </c>
      <c r="H45">
        <v>0.80189999999999995</v>
      </c>
    </row>
    <row r="46" spans="5:8" ht="15" customHeight="1" x14ac:dyDescent="0.25">
      <c r="E46">
        <v>2.5028000000000001</v>
      </c>
      <c r="F46">
        <v>0.42309999999999998</v>
      </c>
      <c r="G46">
        <v>6.4824999999999999</v>
      </c>
      <c r="H46">
        <v>0.90229999999999999</v>
      </c>
    </row>
    <row r="47" spans="5:8" ht="15" customHeight="1" x14ac:dyDescent="0.25">
      <c r="E47">
        <v>2.7494999999999998</v>
      </c>
      <c r="F47">
        <v>0.40570000000000001</v>
      </c>
      <c r="G47">
        <v>6.9555999999999996</v>
      </c>
      <c r="H47">
        <v>0.84709999999999996</v>
      </c>
    </row>
    <row r="48" spans="5:8" ht="15" customHeight="1" x14ac:dyDescent="0.25">
      <c r="E48">
        <v>2.8774000000000002</v>
      </c>
      <c r="F48">
        <v>0.37290000000000001</v>
      </c>
      <c r="G48">
        <v>2.5626000000000002</v>
      </c>
      <c r="H48">
        <v>0.59030000000000005</v>
      </c>
    </row>
    <row r="49" spans="5:6" ht="15" customHeight="1" x14ac:dyDescent="0.25">
      <c r="E49">
        <v>2.9230999999999998</v>
      </c>
      <c r="F49">
        <v>0.33689999999999998</v>
      </c>
    </row>
    <row r="50" spans="5:6" ht="15" customHeight="1" x14ac:dyDescent="0.25">
      <c r="E50">
        <v>2.9542000000000002</v>
      </c>
      <c r="F50">
        <v>0.29599999999999999</v>
      </c>
    </row>
    <row r="51" spans="5:6" ht="15" customHeight="1" x14ac:dyDescent="0.25">
      <c r="E51">
        <v>2.9925000000000002</v>
      </c>
      <c r="F51">
        <v>0.43730000000000002</v>
      </c>
    </row>
    <row r="52" spans="5:6" ht="15" customHeight="1" x14ac:dyDescent="0.25">
      <c r="E52">
        <v>3.0034999999999998</v>
      </c>
      <c r="F52">
        <v>0.21740000000000001</v>
      </c>
    </row>
    <row r="53" spans="5:6" ht="15" customHeight="1" x14ac:dyDescent="0.25">
      <c r="E53">
        <v>2.4863</v>
      </c>
      <c r="F53">
        <v>0.59119999999999995</v>
      </c>
    </row>
    <row r="54" spans="5:6" ht="15" customHeight="1" x14ac:dyDescent="0.25">
      <c r="E54">
        <v>2.6234000000000002</v>
      </c>
      <c r="F54">
        <v>0.5393</v>
      </c>
    </row>
    <row r="55" spans="5:6" ht="15" customHeight="1" x14ac:dyDescent="0.25">
      <c r="E55">
        <v>2.8719000000000001</v>
      </c>
      <c r="F55">
        <v>0.5393</v>
      </c>
    </row>
    <row r="56" spans="5:6" ht="15" customHeight="1" x14ac:dyDescent="0.25">
      <c r="E56">
        <v>2.9359000000000002</v>
      </c>
      <c r="F56">
        <v>0.54049999999999998</v>
      </c>
    </row>
    <row r="57" spans="5:6" ht="15" customHeight="1" x14ac:dyDescent="0.25">
      <c r="E57">
        <v>3.0072000000000001</v>
      </c>
      <c r="F57">
        <v>0.56559999999999999</v>
      </c>
    </row>
    <row r="58" spans="5:6" ht="15" customHeight="1" x14ac:dyDescent="0.25">
      <c r="E58">
        <v>2.9962</v>
      </c>
      <c r="F58">
        <v>0.51019999999999999</v>
      </c>
    </row>
    <row r="59" spans="5:6" ht="15" customHeight="1" x14ac:dyDescent="0.25">
      <c r="E59">
        <v>3.2484000000000002</v>
      </c>
      <c r="F59">
        <v>0.2515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N58"/>
  <sheetViews>
    <sheetView zoomScale="115" zoomScaleNormal="115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8" t="s">
        <v>91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ht="31.5" customHeight="1" x14ac:dyDescent="0.25">
      <c r="A2" s="55" t="s">
        <v>92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4" spans="1:14" ht="15" customHeight="1" x14ac:dyDescent="0.25">
      <c r="A4" s="24" t="s">
        <v>93</v>
      </c>
      <c r="C4" s="24" t="s">
        <v>94</v>
      </c>
      <c r="E4" s="24" t="s">
        <v>84</v>
      </c>
      <c r="G4" s="24" t="s">
        <v>85</v>
      </c>
      <c r="I4" s="25" t="s">
        <v>86</v>
      </c>
    </row>
    <row r="5" spans="1:14" ht="34.5" customHeight="1" x14ac:dyDescent="0.25">
      <c r="A5" s="26" t="s">
        <v>87</v>
      </c>
      <c r="B5" s="26" t="s">
        <v>88</v>
      </c>
      <c r="C5" s="26" t="s">
        <v>87</v>
      </c>
      <c r="D5" s="26" t="s">
        <v>88</v>
      </c>
      <c r="E5" s="26" t="s">
        <v>87</v>
      </c>
      <c r="F5" s="26" t="s">
        <v>88</v>
      </c>
      <c r="G5" s="26" t="s">
        <v>87</v>
      </c>
      <c r="H5" s="26" t="s">
        <v>88</v>
      </c>
      <c r="I5" s="27" t="s">
        <v>23</v>
      </c>
      <c r="J5" s="27" t="s">
        <v>24</v>
      </c>
      <c r="K5" s="27" t="s">
        <v>27</v>
      </c>
      <c r="L5" s="27" t="s">
        <v>89</v>
      </c>
      <c r="M5" s="27" t="s">
        <v>28</v>
      </c>
      <c r="N5" s="27" t="s">
        <v>90</v>
      </c>
    </row>
    <row r="6" spans="1:14" ht="15" customHeight="1" x14ac:dyDescent="0.25">
      <c r="A6">
        <v>0.1</v>
      </c>
      <c r="B6">
        <v>4.2999999999999997E-2</v>
      </c>
      <c r="C6">
        <v>0.1</v>
      </c>
      <c r="D6">
        <v>2.4E-2</v>
      </c>
      <c r="E6">
        <v>0.54800000000000004</v>
      </c>
      <c r="F6">
        <v>9.1499999999999998E-2</v>
      </c>
      <c r="G6">
        <v>0.25540000000000002</v>
      </c>
      <c r="H6">
        <v>1.77E-2</v>
      </c>
      <c r="I6" s="28">
        <f>IF(DATI_INPUT!D13="AL",DATI_INPUT!A13,NA())</f>
        <v>1</v>
      </c>
      <c r="J6" s="29">
        <f>IF(DATI_INPUT!D13="AL",DATI_INPUT!B13,NA())</f>
        <v>0</v>
      </c>
      <c r="K6" s="30">
        <f>IF(DATI_INPUT!D13="AL",IFERROR('CALCOLO-Qmedio'!F10,NA()),NA())</f>
        <v>2.0009999999999999</v>
      </c>
      <c r="L6" s="30">
        <f>IF(DATI_INPUT!D13="AL",IFERROR('CALCOLO-Qmedio'!G10,NA()),NA())</f>
        <v>0.26788178607556729</v>
      </c>
      <c r="M6" s="30">
        <f>IF(DATI_INPUT!D13="AL",IFERROR('CALCOLO-Qminimo'!F10,NA()),NA())</f>
        <v>1.0004999999999999</v>
      </c>
      <c r="N6" s="30">
        <f>IF(DATI_INPUT!D13="AL",IFERROR('CALCOLO-Qminimo'!G10,NA()),NA())</f>
        <v>0.17547852590014054</v>
      </c>
    </row>
    <row r="7" spans="1:14" ht="15" customHeight="1" x14ac:dyDescent="0.25">
      <c r="A7">
        <v>0.2263</v>
      </c>
      <c r="B7">
        <v>7.0800000000000002E-2</v>
      </c>
      <c r="C7">
        <v>0.2263</v>
      </c>
      <c r="D7">
        <v>3.9699999999999999E-2</v>
      </c>
      <c r="E7">
        <v>0.64949999999999997</v>
      </c>
      <c r="F7">
        <v>8.8400000000000006E-2</v>
      </c>
      <c r="G7">
        <v>0.35670000000000002</v>
      </c>
      <c r="H7">
        <v>3.3300000000000003E-2</v>
      </c>
      <c r="I7" s="31">
        <f>IF(DATI_INPUT!D14="AL",DATI_INPUT!A14,NA())</f>
        <v>2</v>
      </c>
      <c r="J7" s="32">
        <f>IF(DATI_INPUT!D14="AL",DATI_INPUT!B14,NA())</f>
        <v>0</v>
      </c>
      <c r="K7" s="33">
        <f>IF(DATI_INPUT!D14="AL",IFERROR('CALCOLO-Qmedio'!F11,NA()),NA())</f>
        <v>2</v>
      </c>
      <c r="L7" s="33">
        <f>IF(DATI_INPUT!D14="AL",IFERROR('CALCOLO-Qmedio'!G11,NA()),NA())</f>
        <v>0.26780007457464489</v>
      </c>
      <c r="M7" s="33">
        <f>IF(DATI_INPUT!D14="AL",IFERROR('CALCOLO-Qminimo'!F11,NA()),NA())</f>
        <v>1</v>
      </c>
      <c r="N7" s="33">
        <f>IF(DATI_INPUT!D14="AL",IFERROR('CALCOLO-Qminimo'!G11,NA()),NA())</f>
        <v>0.175425</v>
      </c>
    </row>
    <row r="8" spans="1:14" ht="15" customHeight="1" x14ac:dyDescent="0.25">
      <c r="A8">
        <v>0.35260000000000002</v>
      </c>
      <c r="B8">
        <v>9.2899999999999996E-2</v>
      </c>
      <c r="C8">
        <v>0.35260000000000002</v>
      </c>
      <c r="D8">
        <v>5.2200000000000003E-2</v>
      </c>
      <c r="E8">
        <v>0.60189999999999999</v>
      </c>
      <c r="F8">
        <v>0.11899999999999999</v>
      </c>
      <c r="G8">
        <v>0.45789999999999997</v>
      </c>
      <c r="H8">
        <v>5.7299999999999997E-2</v>
      </c>
      <c r="I8" s="28" t="e">
        <f>IF(DATI_INPUT!D15="AL",DATI_INPUT!A15,NA())</f>
        <v>#N/A</v>
      </c>
      <c r="J8" s="29" t="e">
        <f>IF(DATI_INPUT!D15="AL",DATI_INPUT!B15,NA())</f>
        <v>#N/A</v>
      </c>
      <c r="K8" s="30" t="e">
        <f>IF(DATI_INPUT!D15="AL",IFERROR('CALCOLO-Qmedio'!F12,NA()),NA())</f>
        <v>#N/A</v>
      </c>
      <c r="L8" s="30" t="e">
        <f>IF(DATI_INPUT!D15="AL",IFERROR('CALCOLO-Qmedio'!G12,NA()),NA())</f>
        <v>#N/A</v>
      </c>
      <c r="M8" s="30" t="e">
        <f>IF(DATI_INPUT!D15="AL",IFERROR('CALCOLO-Qminimo'!F12,NA()),NA())</f>
        <v>#N/A</v>
      </c>
      <c r="N8" s="30" t="e">
        <f>IF(DATI_INPUT!D15="AL",IFERROR('CALCOLO-Qminimo'!G12,NA()),NA())</f>
        <v>#N/A</v>
      </c>
    </row>
    <row r="9" spans="1:14" ht="15" customHeight="1" x14ac:dyDescent="0.25">
      <c r="A9">
        <v>0.47889999999999999</v>
      </c>
      <c r="B9">
        <v>0.1119</v>
      </c>
      <c r="C9">
        <v>0.47889999999999999</v>
      </c>
      <c r="D9">
        <v>6.3100000000000003E-2</v>
      </c>
      <c r="E9">
        <v>0.70089999999999997</v>
      </c>
      <c r="F9">
        <v>0.15890000000000001</v>
      </c>
      <c r="G9">
        <v>0.61129999999999995</v>
      </c>
      <c r="H9">
        <v>6.88E-2</v>
      </c>
      <c r="I9" s="31" t="e">
        <f>IF(DATI_INPUT!D16="AL",DATI_INPUT!A16,NA())</f>
        <v>#N/A</v>
      </c>
      <c r="J9" s="32" t="e">
        <f>IF(DATI_INPUT!D16="AL",DATI_INPUT!B16,NA())</f>
        <v>#N/A</v>
      </c>
      <c r="K9" s="33" t="e">
        <f>IF(DATI_INPUT!D16="AL",IFERROR('CALCOLO-Qmedio'!F13,NA()),NA())</f>
        <v>#N/A</v>
      </c>
      <c r="L9" s="33" t="e">
        <f>IF(DATI_INPUT!D16="AL",IFERROR('CALCOLO-Qmedio'!G13,NA()),NA())</f>
        <v>#N/A</v>
      </c>
      <c r="M9" s="33" t="e">
        <f>IF(DATI_INPUT!D16="AL",IFERROR('CALCOLO-Qminimo'!F13,NA()),NA())</f>
        <v>#N/A</v>
      </c>
      <c r="N9" s="33" t="e">
        <f>IF(DATI_INPUT!D16="AL",IFERROR('CALCOLO-Qminimo'!G13,NA()),NA())</f>
        <v>#N/A</v>
      </c>
    </row>
    <row r="10" spans="1:14" ht="15" customHeight="1" x14ac:dyDescent="0.25">
      <c r="A10">
        <v>0.60529999999999995</v>
      </c>
      <c r="B10">
        <v>0.12909999999999999</v>
      </c>
      <c r="C10">
        <v>0.60529999999999995</v>
      </c>
      <c r="D10">
        <v>7.2900000000000006E-2</v>
      </c>
      <c r="E10">
        <v>0.67869999999999997</v>
      </c>
      <c r="F10">
        <v>0.17960000000000001</v>
      </c>
      <c r="G10">
        <v>0.65849999999999997</v>
      </c>
      <c r="H10">
        <v>7.2700000000000001E-2</v>
      </c>
      <c r="I10" s="28" t="e">
        <f>IF(DATI_INPUT!D17="AL",DATI_INPUT!A17,NA())</f>
        <v>#N/A</v>
      </c>
      <c r="J10" s="29" t="e">
        <f>IF(DATI_INPUT!D17="AL",DATI_INPUT!B17,NA())</f>
        <v>#N/A</v>
      </c>
      <c r="K10" s="30" t="e">
        <f>IF(DATI_INPUT!D17="AL",IFERROR('CALCOLO-Qmedio'!F14,NA()),NA())</f>
        <v>#N/A</v>
      </c>
      <c r="L10" s="30" t="e">
        <f>IF(DATI_INPUT!D17="AL",IFERROR('CALCOLO-Qmedio'!G14,NA()),NA())</f>
        <v>#N/A</v>
      </c>
      <c r="M10" s="30" t="e">
        <f>IF(DATI_INPUT!D17="AL",IFERROR('CALCOLO-Qminimo'!F14,NA()),NA())</f>
        <v>#N/A</v>
      </c>
      <c r="N10" s="30" t="e">
        <f>IF(DATI_INPUT!D17="AL",IFERROR('CALCOLO-Qminimo'!G14,NA()),NA())</f>
        <v>#N/A</v>
      </c>
    </row>
    <row r="11" spans="1:14" ht="15" customHeight="1" x14ac:dyDescent="0.25">
      <c r="A11">
        <v>0.73160000000000003</v>
      </c>
      <c r="B11">
        <v>0.14499999999999999</v>
      </c>
      <c r="C11">
        <v>0.73160000000000003</v>
      </c>
      <c r="D11">
        <v>8.1900000000000001E-2</v>
      </c>
      <c r="E11">
        <v>0.69840000000000002</v>
      </c>
      <c r="F11">
        <v>0.2203</v>
      </c>
      <c r="G11">
        <v>0.66479999999999995</v>
      </c>
      <c r="H11">
        <v>0.11840000000000001</v>
      </c>
      <c r="I11" s="31" t="e">
        <f>IF(DATI_INPUT!D18="AL",DATI_INPUT!A18,NA())</f>
        <v>#N/A</v>
      </c>
      <c r="J11" s="32" t="e">
        <f>IF(DATI_INPUT!D18="AL",DATI_INPUT!B18,NA())</f>
        <v>#N/A</v>
      </c>
      <c r="K11" s="33" t="e">
        <f>IF(DATI_INPUT!D18="AL",IFERROR('CALCOLO-Qmedio'!F15,NA()),NA())</f>
        <v>#N/A</v>
      </c>
      <c r="L11" s="33" t="e">
        <f>IF(DATI_INPUT!D18="AL",IFERROR('CALCOLO-Qmedio'!G15,NA()),NA())</f>
        <v>#N/A</v>
      </c>
      <c r="M11" s="33" t="e">
        <f>IF(DATI_INPUT!D18="AL",IFERROR('CALCOLO-Qminimo'!F15,NA()),NA())</f>
        <v>#N/A</v>
      </c>
      <c r="N11" s="33" t="e">
        <f>IF(DATI_INPUT!D18="AL",IFERROR('CALCOLO-Qminimo'!G15,NA()),NA())</f>
        <v>#N/A</v>
      </c>
    </row>
    <row r="12" spans="1:14" ht="15" customHeight="1" x14ac:dyDescent="0.25">
      <c r="A12">
        <v>0.8579</v>
      </c>
      <c r="B12">
        <v>0.1598</v>
      </c>
      <c r="C12">
        <v>0.8579</v>
      </c>
      <c r="D12">
        <v>9.0399999999999994E-2</v>
      </c>
      <c r="E12">
        <v>0.626</v>
      </c>
      <c r="F12">
        <v>0.2089</v>
      </c>
      <c r="G12">
        <v>0.7026</v>
      </c>
      <c r="H12">
        <v>0.1186</v>
      </c>
      <c r="I12" s="28" t="e">
        <f>IF(DATI_INPUT!D19="AL",DATI_INPUT!A19,NA())</f>
        <v>#N/A</v>
      </c>
      <c r="J12" s="29" t="e">
        <f>IF(DATI_INPUT!D19="AL",DATI_INPUT!B19,NA())</f>
        <v>#N/A</v>
      </c>
      <c r="K12" s="30" t="e">
        <f>IF(DATI_INPUT!D19="AL",IFERROR('CALCOLO-Qmedio'!F16,NA()),NA())</f>
        <v>#N/A</v>
      </c>
      <c r="L12" s="30" t="e">
        <f>IF(DATI_INPUT!D19="AL",IFERROR('CALCOLO-Qmedio'!G16,NA()),NA())</f>
        <v>#N/A</v>
      </c>
      <c r="M12" s="30" t="e">
        <f>IF(DATI_INPUT!D19="AL",IFERROR('CALCOLO-Qminimo'!F16,NA()),NA())</f>
        <v>#N/A</v>
      </c>
      <c r="N12" s="30" t="e">
        <f>IF(DATI_INPUT!D19="AL",IFERROR('CALCOLO-Qminimo'!G16,NA()),NA())</f>
        <v>#N/A</v>
      </c>
    </row>
    <row r="13" spans="1:14" ht="15" customHeight="1" x14ac:dyDescent="0.25">
      <c r="A13">
        <v>0.98419999999999996</v>
      </c>
      <c r="B13">
        <v>0.17369999999999999</v>
      </c>
      <c r="C13">
        <v>0.98419999999999996</v>
      </c>
      <c r="D13">
        <v>9.8400000000000001E-2</v>
      </c>
      <c r="E13">
        <v>0.60509999999999997</v>
      </c>
      <c r="F13">
        <v>0.1993</v>
      </c>
      <c r="G13">
        <v>0.8992</v>
      </c>
      <c r="H13">
        <v>9.1700000000000004E-2</v>
      </c>
      <c r="I13" s="31" t="e">
        <f>IF(DATI_INPUT!D20="AL",DATI_INPUT!A20,NA())</f>
        <v>#N/A</v>
      </c>
      <c r="J13" s="32" t="e">
        <f>IF(DATI_INPUT!D20="AL",DATI_INPUT!B20,NA())</f>
        <v>#N/A</v>
      </c>
      <c r="K13" s="33" t="e">
        <f>IF(DATI_INPUT!D20="AL",IFERROR('CALCOLO-Qmedio'!F17,NA()),NA())</f>
        <v>#N/A</v>
      </c>
      <c r="L13" s="33" t="e">
        <f>IF(DATI_INPUT!D20="AL",IFERROR('CALCOLO-Qmedio'!G17,NA()),NA())</f>
        <v>#N/A</v>
      </c>
      <c r="M13" s="33" t="e">
        <f>IF(DATI_INPUT!D20="AL",IFERROR('CALCOLO-Qminimo'!F17,NA()),NA())</f>
        <v>#N/A</v>
      </c>
      <c r="N13" s="33" t="e">
        <f>IF(DATI_INPUT!D20="AL",IFERROR('CALCOLO-Qminimo'!G17,NA()),NA())</f>
        <v>#N/A</v>
      </c>
    </row>
    <row r="14" spans="1:14" ht="15" customHeight="1" x14ac:dyDescent="0.25">
      <c r="A14">
        <v>1.1105</v>
      </c>
      <c r="B14">
        <v>0.187</v>
      </c>
      <c r="C14">
        <v>1.1105</v>
      </c>
      <c r="D14">
        <v>0.106</v>
      </c>
      <c r="E14">
        <v>0.57340000000000002</v>
      </c>
      <c r="F14">
        <v>0.19400000000000001</v>
      </c>
      <c r="G14">
        <v>1.0526</v>
      </c>
      <c r="H14">
        <v>8.0799999999999997E-2</v>
      </c>
      <c r="I14" s="28" t="e">
        <f>IF(DATI_INPUT!D21="AL",DATI_INPUT!A21,NA())</f>
        <v>#N/A</v>
      </c>
      <c r="J14" s="29" t="e">
        <f>IF(DATI_INPUT!D21="AL",DATI_INPUT!B21,NA())</f>
        <v>#N/A</v>
      </c>
      <c r="K14" s="30" t="e">
        <f>IF(DATI_INPUT!D21="AL",IFERROR('CALCOLO-Qmedio'!F18,NA()),NA())</f>
        <v>#N/A</v>
      </c>
      <c r="L14" s="30" t="e">
        <f>IF(DATI_INPUT!D21="AL",IFERROR('CALCOLO-Qmedio'!G18,NA()),NA())</f>
        <v>#N/A</v>
      </c>
      <c r="M14" s="30" t="e">
        <f>IF(DATI_INPUT!D21="AL",IFERROR('CALCOLO-Qminimo'!F18,NA()),NA())</f>
        <v>#N/A</v>
      </c>
      <c r="N14" s="30" t="e">
        <f>IF(DATI_INPUT!D21="AL",IFERROR('CALCOLO-Qminimo'!G18,NA()),NA())</f>
        <v>#N/A</v>
      </c>
    </row>
    <row r="15" spans="1:14" ht="15" customHeight="1" x14ac:dyDescent="0.25">
      <c r="A15">
        <v>1.2367999999999999</v>
      </c>
      <c r="B15">
        <v>0.19969999999999999</v>
      </c>
      <c r="C15">
        <v>1.2367999999999999</v>
      </c>
      <c r="D15">
        <v>0.1133</v>
      </c>
      <c r="E15">
        <v>0.5232</v>
      </c>
      <c r="F15">
        <v>0.1905</v>
      </c>
      <c r="G15">
        <v>0.40060000000000001</v>
      </c>
      <c r="H15">
        <v>2.7E-2</v>
      </c>
      <c r="I15" s="31" t="e">
        <f>IF(DATI_INPUT!D22="AL",DATI_INPUT!A22,NA())</f>
        <v>#N/A</v>
      </c>
      <c r="J15" s="32" t="e">
        <f>IF(DATI_INPUT!D22="AL",DATI_INPUT!B22,NA())</f>
        <v>#N/A</v>
      </c>
      <c r="K15" s="33" t="e">
        <f>IF(DATI_INPUT!D22="AL",IFERROR('CALCOLO-Qmedio'!F19,NA()),NA())</f>
        <v>#N/A</v>
      </c>
      <c r="L15" s="33" t="e">
        <f>IF(DATI_INPUT!D22="AL",IFERROR('CALCOLO-Qmedio'!G19,NA()),NA())</f>
        <v>#N/A</v>
      </c>
      <c r="M15" s="33" t="e">
        <f>IF(DATI_INPUT!D22="AL",IFERROR('CALCOLO-Qminimo'!F19,NA()),NA())</f>
        <v>#N/A</v>
      </c>
      <c r="N15" s="33" t="e">
        <f>IF(DATI_INPUT!D22="AL",IFERROR('CALCOLO-Qminimo'!G19,NA()),NA())</f>
        <v>#N/A</v>
      </c>
    </row>
    <row r="16" spans="1:14" ht="15" customHeight="1" x14ac:dyDescent="0.25">
      <c r="A16">
        <v>1.3632</v>
      </c>
      <c r="B16">
        <v>0.21190000000000001</v>
      </c>
      <c r="C16">
        <v>1.3632</v>
      </c>
      <c r="D16">
        <v>0.1203</v>
      </c>
      <c r="E16">
        <v>0.54859999999999998</v>
      </c>
      <c r="F16">
        <v>0.2107</v>
      </c>
      <c r="G16">
        <v>0.50680000000000003</v>
      </c>
      <c r="H16">
        <v>4.4999999999999998E-2</v>
      </c>
    </row>
    <row r="17" spans="1:8" ht="15" customHeight="1" x14ac:dyDescent="0.25">
      <c r="A17">
        <v>1.4895</v>
      </c>
      <c r="B17">
        <v>0.22370000000000001</v>
      </c>
      <c r="C17">
        <v>1.4895</v>
      </c>
      <c r="D17">
        <v>0.12709999999999999</v>
      </c>
      <c r="E17">
        <v>0.58409999999999995</v>
      </c>
      <c r="F17">
        <v>0.2104</v>
      </c>
      <c r="G17">
        <v>0.498</v>
      </c>
      <c r="H17">
        <v>5.7500000000000002E-2</v>
      </c>
    </row>
    <row r="18" spans="1:8" ht="15" customHeight="1" x14ac:dyDescent="0.25">
      <c r="A18">
        <v>1.6157999999999999</v>
      </c>
      <c r="B18">
        <v>0.2351</v>
      </c>
      <c r="C18">
        <v>1.6157999999999999</v>
      </c>
      <c r="D18">
        <v>0.1336</v>
      </c>
      <c r="E18">
        <v>0.6038</v>
      </c>
      <c r="F18">
        <v>0.2266</v>
      </c>
      <c r="G18">
        <v>0.53139999999999998</v>
      </c>
      <c r="H18">
        <v>5.74E-2</v>
      </c>
    </row>
    <row r="19" spans="1:8" ht="15" customHeight="1" x14ac:dyDescent="0.25">
      <c r="A19">
        <v>1.7421</v>
      </c>
      <c r="B19">
        <v>0.2462</v>
      </c>
      <c r="C19">
        <v>1.7421</v>
      </c>
      <c r="D19">
        <v>0.14000000000000001</v>
      </c>
      <c r="E19">
        <v>0.57340000000000002</v>
      </c>
      <c r="F19">
        <v>0.22939999999999999</v>
      </c>
      <c r="G19">
        <v>0.55969999999999998</v>
      </c>
      <c r="H19">
        <v>5.7500000000000002E-2</v>
      </c>
    </row>
    <row r="20" spans="1:8" ht="15" customHeight="1" x14ac:dyDescent="0.25">
      <c r="A20">
        <v>1.8684000000000001</v>
      </c>
      <c r="B20">
        <v>0.25690000000000002</v>
      </c>
      <c r="C20">
        <v>1.8684000000000001</v>
      </c>
      <c r="D20">
        <v>0.1462</v>
      </c>
      <c r="E20">
        <v>0.59809999999999997</v>
      </c>
      <c r="F20">
        <v>0.24859999999999999</v>
      </c>
      <c r="G20">
        <v>0.59430000000000005</v>
      </c>
      <c r="H20">
        <v>5.74E-2</v>
      </c>
    </row>
    <row r="21" spans="1:8" ht="15" customHeight="1" x14ac:dyDescent="0.25">
      <c r="A21">
        <v>1.9946999999999999</v>
      </c>
      <c r="B21">
        <v>0.26740000000000003</v>
      </c>
      <c r="C21">
        <v>1.9946999999999999</v>
      </c>
      <c r="D21">
        <v>0.1522</v>
      </c>
      <c r="E21">
        <v>2.4777999999999998</v>
      </c>
      <c r="F21">
        <v>0.31509999999999999</v>
      </c>
      <c r="G21">
        <v>0.61460000000000004</v>
      </c>
      <c r="H21">
        <v>4.48E-2</v>
      </c>
    </row>
    <row r="22" spans="1:8" ht="15" customHeight="1" x14ac:dyDescent="0.25">
      <c r="A22">
        <v>2.1211000000000002</v>
      </c>
      <c r="B22">
        <v>0.27760000000000001</v>
      </c>
      <c r="C22">
        <v>2.1211000000000002</v>
      </c>
      <c r="D22">
        <v>0.15809999999999999</v>
      </c>
      <c r="E22">
        <v>2.4782000000000002</v>
      </c>
      <c r="F22">
        <v>0.24210000000000001</v>
      </c>
      <c r="G22">
        <v>0.7258</v>
      </c>
      <c r="H22">
        <v>7.3700000000000002E-2</v>
      </c>
    </row>
    <row r="23" spans="1:8" ht="15" customHeight="1" x14ac:dyDescent="0.25">
      <c r="A23">
        <v>2.2473999999999998</v>
      </c>
      <c r="B23">
        <v>0.28760000000000002</v>
      </c>
      <c r="C23">
        <v>2.2473999999999998</v>
      </c>
      <c r="D23">
        <v>0.1638</v>
      </c>
      <c r="E23">
        <v>0.85009999999999997</v>
      </c>
      <c r="F23">
        <v>0.1573</v>
      </c>
      <c r="G23">
        <v>0.70169999999999999</v>
      </c>
      <c r="H23">
        <v>8.2699999999999996E-2</v>
      </c>
    </row>
    <row r="24" spans="1:8" ht="15" customHeight="1" x14ac:dyDescent="0.25">
      <c r="A24">
        <v>2.3736999999999999</v>
      </c>
      <c r="B24">
        <v>0.29730000000000001</v>
      </c>
      <c r="C24">
        <v>2.3736999999999999</v>
      </c>
      <c r="D24">
        <v>0.16950000000000001</v>
      </c>
      <c r="E24">
        <v>0.84909999999999997</v>
      </c>
      <c r="F24">
        <v>0.14430000000000001</v>
      </c>
      <c r="G24">
        <v>0.81440000000000001</v>
      </c>
      <c r="H24">
        <v>7.3899999999999993E-2</v>
      </c>
    </row>
    <row r="25" spans="1:8" ht="15" customHeight="1" x14ac:dyDescent="0.25">
      <c r="A25">
        <v>2.5</v>
      </c>
      <c r="B25">
        <v>0.30690000000000001</v>
      </c>
      <c r="C25">
        <v>2.5</v>
      </c>
      <c r="D25">
        <v>0.17499999999999999</v>
      </c>
      <c r="E25">
        <v>0.87880000000000003</v>
      </c>
      <c r="F25">
        <v>0.1285</v>
      </c>
      <c r="G25">
        <v>1.2962</v>
      </c>
      <c r="H25">
        <v>0.12970000000000001</v>
      </c>
    </row>
    <row r="26" spans="1:8" ht="15" customHeight="1" x14ac:dyDescent="0.25">
      <c r="E26">
        <v>0.89880000000000004</v>
      </c>
      <c r="F26">
        <v>0.14219999999999999</v>
      </c>
      <c r="G26">
        <v>1.6003000000000001</v>
      </c>
      <c r="H26">
        <v>0.13100000000000001</v>
      </c>
    </row>
    <row r="27" spans="1:8" ht="15" customHeight="1" x14ac:dyDescent="0.25">
      <c r="E27">
        <v>0.89910000000000001</v>
      </c>
      <c r="F27">
        <v>0.15709999999999999</v>
      </c>
      <c r="G27">
        <v>1.5995999999999999</v>
      </c>
      <c r="H27">
        <v>0.16289999999999999</v>
      </c>
    </row>
    <row r="28" spans="1:8" ht="15" customHeight="1" x14ac:dyDescent="0.25">
      <c r="E28">
        <v>0.95189999999999997</v>
      </c>
      <c r="F28">
        <v>0.14960000000000001</v>
      </c>
      <c r="G28">
        <v>1.0980000000000001</v>
      </c>
      <c r="H28">
        <v>9.9400000000000002E-2</v>
      </c>
    </row>
    <row r="29" spans="1:8" ht="15" customHeight="1" x14ac:dyDescent="0.25">
      <c r="E29">
        <v>1.0016</v>
      </c>
      <c r="F29">
        <v>0.15670000000000001</v>
      </c>
      <c r="G29">
        <v>1.1981999999999999</v>
      </c>
      <c r="H29">
        <v>0.1109</v>
      </c>
    </row>
    <row r="30" spans="1:8" ht="15" customHeight="1" x14ac:dyDescent="0.25">
      <c r="E30">
        <v>1.0549999999999999</v>
      </c>
      <c r="F30">
        <v>0.14940000000000001</v>
      </c>
      <c r="G30">
        <v>0.74650000000000005</v>
      </c>
      <c r="H30">
        <v>0.12620000000000001</v>
      </c>
    </row>
    <row r="31" spans="1:8" ht="15" customHeight="1" x14ac:dyDescent="0.25">
      <c r="E31">
        <v>1.0464</v>
      </c>
      <c r="F31">
        <v>0.1119</v>
      </c>
      <c r="G31">
        <v>0.74709999999999999</v>
      </c>
      <c r="H31">
        <v>0.22939999999999999</v>
      </c>
    </row>
    <row r="32" spans="1:8" ht="15" customHeight="1" x14ac:dyDescent="0.25">
      <c r="E32">
        <v>1.4463999999999999</v>
      </c>
      <c r="F32">
        <v>5.7500000000000002E-2</v>
      </c>
      <c r="G32">
        <v>0.92210000000000003</v>
      </c>
      <c r="H32">
        <v>0.104</v>
      </c>
    </row>
    <row r="33" spans="5:8" ht="15" customHeight="1" x14ac:dyDescent="0.25">
      <c r="E33">
        <v>1.2974000000000001</v>
      </c>
      <c r="F33">
        <v>0.161</v>
      </c>
      <c r="G33">
        <v>0.92459999999999998</v>
      </c>
      <c r="H33">
        <v>8.9099999999999999E-2</v>
      </c>
    </row>
    <row r="34" spans="5:8" ht="15" customHeight="1" x14ac:dyDescent="0.25">
      <c r="E34">
        <v>1.3468</v>
      </c>
      <c r="F34">
        <v>0.17050000000000001</v>
      </c>
      <c r="G34">
        <v>1.0933999999999999</v>
      </c>
      <c r="H34">
        <v>7.5399999999999995E-2</v>
      </c>
    </row>
    <row r="35" spans="5:8" ht="15" customHeight="1" x14ac:dyDescent="0.25">
      <c r="E35">
        <v>1.3993</v>
      </c>
      <c r="F35">
        <v>0.18310000000000001</v>
      </c>
      <c r="G35">
        <v>1.1295999999999999</v>
      </c>
      <c r="H35">
        <v>7.0199999999999999E-2</v>
      </c>
    </row>
    <row r="36" spans="5:8" ht="15" customHeight="1" x14ac:dyDescent="0.25">
      <c r="E36">
        <v>1.2982</v>
      </c>
      <c r="F36">
        <v>0.18129999999999999</v>
      </c>
      <c r="G36">
        <v>1.2059</v>
      </c>
      <c r="H36">
        <v>9.0800000000000006E-2</v>
      </c>
    </row>
    <row r="37" spans="5:8" ht="15" customHeight="1" x14ac:dyDescent="0.25">
      <c r="E37">
        <v>1.1492</v>
      </c>
      <c r="F37">
        <v>0.19109999999999999</v>
      </c>
      <c r="G37">
        <v>1.2534000000000001</v>
      </c>
      <c r="H37">
        <v>0.10970000000000001</v>
      </c>
    </row>
    <row r="38" spans="5:8" ht="15" customHeight="1" x14ac:dyDescent="0.25">
      <c r="E38">
        <v>1.292</v>
      </c>
      <c r="F38">
        <v>0.24829999999999999</v>
      </c>
      <c r="G38">
        <v>1.2228000000000001</v>
      </c>
      <c r="H38">
        <v>0.1229</v>
      </c>
    </row>
    <row r="39" spans="5:8" ht="15" customHeight="1" x14ac:dyDescent="0.25">
      <c r="E39">
        <v>1.397</v>
      </c>
      <c r="F39">
        <v>0.22</v>
      </c>
      <c r="G39">
        <v>1.2034</v>
      </c>
      <c r="H39">
        <v>0.13439999999999999</v>
      </c>
    </row>
    <row r="40" spans="5:8" ht="15" customHeight="1" x14ac:dyDescent="0.25">
      <c r="E40">
        <v>1.4978</v>
      </c>
      <c r="F40">
        <v>0.20380000000000001</v>
      </c>
      <c r="G40">
        <v>1.1609</v>
      </c>
      <c r="H40">
        <v>0.14030000000000001</v>
      </c>
    </row>
    <row r="41" spans="5:8" ht="15" customHeight="1" x14ac:dyDescent="0.25">
      <c r="E41">
        <v>1.597</v>
      </c>
      <c r="F41">
        <v>0.18360000000000001</v>
      </c>
      <c r="G41">
        <v>1.099</v>
      </c>
      <c r="H41">
        <v>0.13059999999999999</v>
      </c>
    </row>
    <row r="42" spans="5:8" ht="15" customHeight="1" x14ac:dyDescent="0.25">
      <c r="E42">
        <v>1.5702</v>
      </c>
      <c r="F42">
        <v>0.17199999999999999</v>
      </c>
      <c r="G42">
        <v>1.1552</v>
      </c>
      <c r="H42">
        <v>0.1157</v>
      </c>
    </row>
    <row r="43" spans="5:8" ht="15" customHeight="1" x14ac:dyDescent="0.25">
      <c r="E43">
        <v>1.6952</v>
      </c>
      <c r="F43">
        <v>0.12909999999999999</v>
      </c>
      <c r="G43">
        <v>1.1476999999999999</v>
      </c>
      <c r="H43">
        <v>0.1704</v>
      </c>
    </row>
    <row r="44" spans="5:8" ht="15" customHeight="1" x14ac:dyDescent="0.25">
      <c r="E44">
        <v>0.73570000000000002</v>
      </c>
      <c r="F44">
        <v>0.1409</v>
      </c>
      <c r="G44">
        <v>1.1009</v>
      </c>
      <c r="H44">
        <v>0.20100000000000001</v>
      </c>
    </row>
    <row r="45" spans="5:8" ht="15" customHeight="1" x14ac:dyDescent="0.25">
      <c r="E45">
        <v>0.77149999999999996</v>
      </c>
      <c r="F45">
        <v>0.14729999999999999</v>
      </c>
      <c r="G45">
        <v>0.74929999999999997</v>
      </c>
      <c r="H45">
        <v>0.16009999999999999</v>
      </c>
    </row>
    <row r="46" spans="5:8" ht="15" customHeight="1" x14ac:dyDescent="0.25">
      <c r="E46">
        <v>0.79879999999999995</v>
      </c>
      <c r="F46">
        <v>0.14879999999999999</v>
      </c>
    </row>
    <row r="47" spans="5:8" ht="15" customHeight="1" x14ac:dyDescent="0.25">
      <c r="E47">
        <v>0.79820000000000002</v>
      </c>
      <c r="F47">
        <v>0.16439999999999999</v>
      </c>
    </row>
    <row r="48" spans="5:8" ht="15" customHeight="1" x14ac:dyDescent="0.25">
      <c r="E48">
        <v>0.74839999999999995</v>
      </c>
      <c r="F48">
        <v>0.2437</v>
      </c>
    </row>
    <row r="49" spans="5:6" ht="15" customHeight="1" x14ac:dyDescent="0.25">
      <c r="E49">
        <v>1.0001</v>
      </c>
      <c r="F49">
        <v>0.17169999999999999</v>
      </c>
    </row>
    <row r="50" spans="5:6" ht="15" customHeight="1" x14ac:dyDescent="0.25">
      <c r="E50">
        <v>0.99960000000000004</v>
      </c>
      <c r="F50">
        <v>0.13880000000000001</v>
      </c>
    </row>
    <row r="51" spans="5:6" ht="15" customHeight="1" x14ac:dyDescent="0.25">
      <c r="E51">
        <v>1.0548</v>
      </c>
      <c r="F51">
        <v>0.1603</v>
      </c>
    </row>
    <row r="52" spans="5:6" ht="15" customHeight="1" x14ac:dyDescent="0.25">
      <c r="E52">
        <v>1.1034999999999999</v>
      </c>
      <c r="F52">
        <v>0.16200000000000001</v>
      </c>
    </row>
    <row r="53" spans="5:6" ht="15" customHeight="1" x14ac:dyDescent="0.25">
      <c r="E53">
        <v>1.1976</v>
      </c>
      <c r="F53">
        <v>0.1993</v>
      </c>
    </row>
    <row r="54" spans="5:6" ht="15" customHeight="1" x14ac:dyDescent="0.25">
      <c r="E54">
        <v>1.1972</v>
      </c>
      <c r="F54">
        <v>0.21890000000000001</v>
      </c>
    </row>
    <row r="55" spans="5:6" ht="15" customHeight="1" x14ac:dyDescent="0.25">
      <c r="E55">
        <v>1.3483000000000001</v>
      </c>
      <c r="F55">
        <v>0.2467</v>
      </c>
    </row>
    <row r="56" spans="5:6" ht="15" customHeight="1" x14ac:dyDescent="0.25">
      <c r="E56">
        <v>1.3965000000000001</v>
      </c>
      <c r="F56">
        <v>0.2447</v>
      </c>
    </row>
    <row r="57" spans="5:6" ht="15" customHeight="1" x14ac:dyDescent="0.25">
      <c r="E57">
        <v>1.4961</v>
      </c>
      <c r="F57">
        <v>0.26889999999999997</v>
      </c>
    </row>
    <row r="58" spans="5:6" ht="15" customHeight="1" x14ac:dyDescent="0.25">
      <c r="E58">
        <v>1.5968</v>
      </c>
      <c r="F58">
        <v>0.26219999999999999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N22"/>
  <sheetViews>
    <sheetView zoomScale="130" zoomScaleNormal="13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8" t="s">
        <v>95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ht="31.5" customHeight="1" x14ac:dyDescent="0.25">
      <c r="A2" s="55" t="s">
        <v>96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4" spans="1:14" ht="15" customHeight="1" x14ac:dyDescent="0.25">
      <c r="A4" s="24" t="s">
        <v>97</v>
      </c>
      <c r="C4" s="24" t="s">
        <v>98</v>
      </c>
      <c r="E4" s="24" t="s">
        <v>84</v>
      </c>
      <c r="G4" s="24" t="s">
        <v>85</v>
      </c>
      <c r="I4" s="25" t="s">
        <v>86</v>
      </c>
    </row>
    <row r="5" spans="1:14" ht="34.5" customHeight="1" x14ac:dyDescent="0.25">
      <c r="A5" s="26" t="s">
        <v>87</v>
      </c>
      <c r="B5" s="26" t="s">
        <v>88</v>
      </c>
      <c r="C5" s="26" t="s">
        <v>87</v>
      </c>
      <c r="D5" s="26" t="s">
        <v>88</v>
      </c>
      <c r="E5" s="26" t="s">
        <v>87</v>
      </c>
      <c r="F5" s="26" t="s">
        <v>88</v>
      </c>
      <c r="G5" s="26" t="s">
        <v>87</v>
      </c>
      <c r="H5" s="26" t="s">
        <v>88</v>
      </c>
      <c r="I5" s="27" t="s">
        <v>23</v>
      </c>
      <c r="J5" s="27" t="s">
        <v>24</v>
      </c>
      <c r="K5" s="27" t="s">
        <v>27</v>
      </c>
      <c r="L5" s="27" t="s">
        <v>89</v>
      </c>
      <c r="M5" s="27" t="s">
        <v>28</v>
      </c>
      <c r="N5" s="27" t="s">
        <v>90</v>
      </c>
    </row>
    <row r="6" spans="1:14" ht="15" customHeight="1" x14ac:dyDescent="0.25">
      <c r="A6">
        <v>1.0162</v>
      </c>
      <c r="B6">
        <v>0.1928</v>
      </c>
      <c r="C6">
        <v>1.0189999999999999</v>
      </c>
      <c r="D6">
        <v>0.1484</v>
      </c>
      <c r="E6">
        <v>1.204</v>
      </c>
      <c r="F6">
        <v>0.2288</v>
      </c>
      <c r="G6">
        <v>3.5346000000000002</v>
      </c>
      <c r="H6">
        <v>0.44169999999999998</v>
      </c>
      <c r="I6" s="28" t="e">
        <f>IF(DATI_INPUT!D13="MC",DATI_INPUT!A13,NA())</f>
        <v>#N/A</v>
      </c>
      <c r="J6" s="29" t="e">
        <f>IF(DATI_INPUT!D13="MC",DATI_INPUT!B13,NA())</f>
        <v>#N/A</v>
      </c>
      <c r="K6" s="30" t="e">
        <f>IF(DATI_INPUT!D13="MC",IFERROR('CALCOLO-Qmedio'!F10,NA()),NA())</f>
        <v>#N/A</v>
      </c>
      <c r="L6" s="30" t="e">
        <f>IF(DATI_INPUT!D13="MC",IFERROR('CALCOLO-Qmedio'!G10,NA()),NA())</f>
        <v>#N/A</v>
      </c>
      <c r="M6" s="30" t="e">
        <f>IF(DATI_INPUT!D13="MC",IFERROR('CALCOLO-Qminimo'!F10,NA()),NA())</f>
        <v>#N/A</v>
      </c>
      <c r="N6" s="30" t="e">
        <f>IF(DATI_INPUT!D13="MC",IFERROR('CALCOLO-Qminimo'!G10,NA()),NA())</f>
        <v>#N/A</v>
      </c>
    </row>
    <row r="7" spans="1:14" ht="15" customHeight="1" x14ac:dyDescent="0.25">
      <c r="A7">
        <v>7.9931999999999999</v>
      </c>
      <c r="B7">
        <v>0.68769999999999998</v>
      </c>
      <c r="C7">
        <v>7.9814999999999996</v>
      </c>
      <c r="D7">
        <v>0.50060000000000004</v>
      </c>
      <c r="E7">
        <v>1.5159</v>
      </c>
      <c r="F7">
        <v>0.24399999999999999</v>
      </c>
      <c r="G7">
        <v>5.4132999999999996</v>
      </c>
      <c r="H7">
        <v>0.36430000000000001</v>
      </c>
      <c r="I7" s="31" t="e">
        <f>IF(DATI_INPUT!D14="MC",DATI_INPUT!A14,NA())</f>
        <v>#N/A</v>
      </c>
      <c r="J7" s="32" t="e">
        <f>IF(DATI_INPUT!D14="MC",DATI_INPUT!B14,NA())</f>
        <v>#N/A</v>
      </c>
      <c r="K7" s="33" t="e">
        <f>IF(DATI_INPUT!D14="MC",IFERROR('CALCOLO-Qmedio'!F11,NA()),NA())</f>
        <v>#N/A</v>
      </c>
      <c r="L7" s="33" t="e">
        <f>IF(DATI_INPUT!D14="MC",IFERROR('CALCOLO-Qmedio'!G11,NA()),NA())</f>
        <v>#N/A</v>
      </c>
      <c r="M7" s="33" t="e">
        <f>IF(DATI_INPUT!D14="MC",IFERROR('CALCOLO-Qminimo'!F11,NA()),NA())</f>
        <v>#N/A</v>
      </c>
      <c r="N7" s="33" t="e">
        <f>IF(DATI_INPUT!D14="MC",IFERROR('CALCOLO-Qminimo'!G11,NA()),NA())</f>
        <v>#N/A</v>
      </c>
    </row>
    <row r="8" spans="1:14" ht="15" customHeight="1" x14ac:dyDescent="0.25">
      <c r="E8">
        <v>1.8716999999999999</v>
      </c>
      <c r="F8">
        <v>0.29409999999999997</v>
      </c>
      <c r="G8">
        <v>5.6273999999999997</v>
      </c>
      <c r="H8">
        <v>0.3634</v>
      </c>
      <c r="I8" s="28" t="e">
        <f>IF(DATI_INPUT!D15="MC",DATI_INPUT!A15,NA())</f>
        <v>#N/A</v>
      </c>
      <c r="J8" s="29" t="e">
        <f>IF(DATI_INPUT!D15="MC",DATI_INPUT!B15,NA())</f>
        <v>#N/A</v>
      </c>
      <c r="K8" s="30" t="e">
        <f>IF(DATI_INPUT!D15="MC",IFERROR('CALCOLO-Qmedio'!F12,NA()),NA())</f>
        <v>#N/A</v>
      </c>
      <c r="L8" s="30" t="e">
        <f>IF(DATI_INPUT!D15="MC",IFERROR('CALCOLO-Qmedio'!G12,NA()),NA())</f>
        <v>#N/A</v>
      </c>
      <c r="M8" s="30" t="e">
        <f>IF(DATI_INPUT!D15="MC",IFERROR('CALCOLO-Qminimo'!F12,NA()),NA())</f>
        <v>#N/A</v>
      </c>
      <c r="N8" s="30" t="e">
        <f>IF(DATI_INPUT!D15="MC",IFERROR('CALCOLO-Qminimo'!G12,NA()),NA())</f>
        <v>#N/A</v>
      </c>
    </row>
    <row r="9" spans="1:14" ht="15" customHeight="1" x14ac:dyDescent="0.25">
      <c r="E9">
        <v>1.8864000000000001</v>
      </c>
      <c r="F9">
        <v>0.25209999999999999</v>
      </c>
      <c r="I9" s="31" t="e">
        <f>IF(DATI_INPUT!D16="MC",DATI_INPUT!A16,NA())</f>
        <v>#N/A</v>
      </c>
      <c r="J9" s="32" t="e">
        <f>IF(DATI_INPUT!D16="MC",DATI_INPUT!B16,NA())</f>
        <v>#N/A</v>
      </c>
      <c r="K9" s="33" t="e">
        <f>IF(DATI_INPUT!D16="MC",IFERROR('CALCOLO-Qmedio'!F13,NA()),NA())</f>
        <v>#N/A</v>
      </c>
      <c r="L9" s="33" t="e">
        <f>IF(DATI_INPUT!D16="MC",IFERROR('CALCOLO-Qmedio'!G13,NA()),NA())</f>
        <v>#N/A</v>
      </c>
      <c r="M9" s="33" t="e">
        <f>IF(DATI_INPUT!D16="MC",IFERROR('CALCOLO-Qminimo'!F13,NA()),NA())</f>
        <v>#N/A</v>
      </c>
      <c r="N9" s="33" t="e">
        <f>IF(DATI_INPUT!D16="MC",IFERROR('CALCOLO-Qminimo'!G13,NA()),NA())</f>
        <v>#N/A</v>
      </c>
    </row>
    <row r="10" spans="1:14" ht="15" customHeight="1" x14ac:dyDescent="0.25">
      <c r="E10">
        <v>2.0074999999999998</v>
      </c>
      <c r="F10">
        <v>0.25209999999999999</v>
      </c>
      <c r="I10" s="28">
        <f>IF(DATI_INPUT!D17="MC",DATI_INPUT!A17,NA())</f>
        <v>5</v>
      </c>
      <c r="J10" s="29">
        <f>IF(DATI_INPUT!D17="MC",DATI_INPUT!B17,NA())</f>
        <v>0</v>
      </c>
      <c r="K10" s="30">
        <f>IF(DATI_INPUT!D17="MC",IFERROR('CALCOLO-Qmedio'!F14,NA()),NA())</f>
        <v>5</v>
      </c>
      <c r="L10" s="30">
        <f>IF(DATI_INPUT!D17="MC",IFERROR('CALCOLO-Qmedio'!G14,NA()),NA())</f>
        <v>0.47538305960727051</v>
      </c>
      <c r="M10" s="30">
        <f>IF(DATI_INPUT!D17="MC",IFERROR('CALCOLO-Qminimo'!F14,NA()),NA())</f>
        <v>6</v>
      </c>
      <c r="N10" s="30">
        <f>IF(DATI_INPUT!D17="MC",IFERROR('CALCOLO-Qminimo'!G14,NA()),NA())</f>
        <v>0.54632590127568592</v>
      </c>
    </row>
    <row r="11" spans="1:14" ht="15" customHeight="1" x14ac:dyDescent="0.25">
      <c r="E11">
        <v>1.9451000000000001</v>
      </c>
      <c r="F11">
        <v>0.22339999999999999</v>
      </c>
      <c r="I11" s="31">
        <f>IF(DATI_INPUT!D18="MC",DATI_INPUT!A18,NA())</f>
        <v>6</v>
      </c>
      <c r="J11" s="32">
        <f>IF(DATI_INPUT!D18="MC",DATI_INPUT!B18,NA())</f>
        <v>0</v>
      </c>
      <c r="K11" s="33">
        <f>IF(DATI_INPUT!D18="MC",IFERROR('CALCOLO-Qmedio'!F15,NA()),NA())</f>
        <v>5</v>
      </c>
      <c r="L11" s="33">
        <f>IF(DATI_INPUT!D18="MC",IFERROR('CALCOLO-Qmedio'!G15,NA()),NA())</f>
        <v>0.47538305960727051</v>
      </c>
      <c r="M11" s="33">
        <f>IF(DATI_INPUT!D18="MC",IFERROR('CALCOLO-Qminimo'!F15,NA()),NA())</f>
        <v>4</v>
      </c>
      <c r="N11" s="33">
        <f>IF(DATI_INPUT!D18="MC",IFERROR('CALCOLO-Qminimo'!G15,NA()),NA())</f>
        <v>0.4044402179388551</v>
      </c>
    </row>
    <row r="12" spans="1:14" ht="15" customHeight="1" x14ac:dyDescent="0.25">
      <c r="E12">
        <v>2.0882000000000001</v>
      </c>
      <c r="F12">
        <v>0.22520000000000001</v>
      </c>
      <c r="I12" s="28" t="e">
        <f>IF(DATI_INPUT!D19="MC",DATI_INPUT!A19,NA())</f>
        <v>#N/A</v>
      </c>
      <c r="J12" s="29" t="e">
        <f>IF(DATI_INPUT!D19="MC",DATI_INPUT!B19,NA())</f>
        <v>#N/A</v>
      </c>
      <c r="K12" s="30" t="e">
        <f>IF(DATI_INPUT!D19="MC",IFERROR('CALCOLO-Qmedio'!F16,NA()),NA())</f>
        <v>#N/A</v>
      </c>
      <c r="L12" s="30" t="e">
        <f>IF(DATI_INPUT!D19="MC",IFERROR('CALCOLO-Qmedio'!G16,NA()),NA())</f>
        <v>#N/A</v>
      </c>
      <c r="M12" s="30" t="e">
        <f>IF(DATI_INPUT!D19="MC",IFERROR('CALCOLO-Qminimo'!F16,NA()),NA())</f>
        <v>#N/A</v>
      </c>
      <c r="N12" s="30" t="e">
        <f>IF(DATI_INPUT!D19="MC",IFERROR('CALCOLO-Qminimo'!G16,NA()),NA())</f>
        <v>#N/A</v>
      </c>
    </row>
    <row r="13" spans="1:14" ht="15" customHeight="1" x14ac:dyDescent="0.25">
      <c r="E13">
        <v>2.0257999999999998</v>
      </c>
      <c r="F13">
        <v>0.29680000000000001</v>
      </c>
      <c r="I13" s="31" t="e">
        <f>IF(DATI_INPUT!D20="MC",DATI_INPUT!A20,NA())</f>
        <v>#N/A</v>
      </c>
      <c r="J13" s="32" t="e">
        <f>IF(DATI_INPUT!D20="MC",DATI_INPUT!B20,NA())</f>
        <v>#N/A</v>
      </c>
      <c r="K13" s="33" t="e">
        <f>IF(DATI_INPUT!D20="MC",IFERROR('CALCOLO-Qmedio'!F17,NA()),NA())</f>
        <v>#N/A</v>
      </c>
      <c r="L13" s="33" t="e">
        <f>IF(DATI_INPUT!D20="MC",IFERROR('CALCOLO-Qmedio'!G17,NA()),NA())</f>
        <v>#N/A</v>
      </c>
      <c r="M13" s="33" t="e">
        <f>IF(DATI_INPUT!D20="MC",IFERROR('CALCOLO-Qminimo'!F17,NA()),NA())</f>
        <v>#N/A</v>
      </c>
      <c r="N13" s="33" t="e">
        <f>IF(DATI_INPUT!D20="MC",IFERROR('CALCOLO-Qminimo'!G17,NA()),NA())</f>
        <v>#N/A</v>
      </c>
    </row>
    <row r="14" spans="1:14" ht="15" customHeight="1" x14ac:dyDescent="0.25">
      <c r="E14">
        <v>2.4916999999999998</v>
      </c>
      <c r="F14">
        <v>0.24399999999999999</v>
      </c>
      <c r="I14" s="28" t="e">
        <f>IF(DATI_INPUT!D21="MC",DATI_INPUT!A21,NA())</f>
        <v>#N/A</v>
      </c>
      <c r="J14" s="29" t="e">
        <f>IF(DATI_INPUT!D21="MC",DATI_INPUT!B21,NA())</f>
        <v>#N/A</v>
      </c>
      <c r="K14" s="30" t="e">
        <f>IF(DATI_INPUT!D21="MC",IFERROR('CALCOLO-Qmedio'!F18,NA()),NA())</f>
        <v>#N/A</v>
      </c>
      <c r="L14" s="30" t="e">
        <f>IF(DATI_INPUT!D21="MC",IFERROR('CALCOLO-Qmedio'!G18,NA()),NA())</f>
        <v>#N/A</v>
      </c>
      <c r="M14" s="30" t="e">
        <f>IF(DATI_INPUT!D21="MC",IFERROR('CALCOLO-Qminimo'!F18,NA()),NA())</f>
        <v>#N/A</v>
      </c>
      <c r="N14" s="30" t="e">
        <f>IF(DATI_INPUT!D21="MC",IFERROR('CALCOLO-Qminimo'!G18,NA()),NA())</f>
        <v>#N/A</v>
      </c>
    </row>
    <row r="15" spans="1:14" ht="15" customHeight="1" x14ac:dyDescent="0.25">
      <c r="E15">
        <v>2.4990000000000001</v>
      </c>
      <c r="F15">
        <v>0.19570000000000001</v>
      </c>
      <c r="I15" s="31" t="e">
        <f>IF(DATI_INPUT!D22="MC",DATI_INPUT!A22,NA())</f>
        <v>#N/A</v>
      </c>
      <c r="J15" s="32" t="e">
        <f>IF(DATI_INPUT!D22="MC",DATI_INPUT!B22,NA())</f>
        <v>#N/A</v>
      </c>
      <c r="K15" s="33" t="e">
        <f>IF(DATI_INPUT!D22="MC",IFERROR('CALCOLO-Qmedio'!F19,NA()),NA())</f>
        <v>#N/A</v>
      </c>
      <c r="L15" s="33" t="e">
        <f>IF(DATI_INPUT!D22="MC",IFERROR('CALCOLO-Qmedio'!G19,NA()),NA())</f>
        <v>#N/A</v>
      </c>
      <c r="M15" s="33" t="e">
        <f>IF(DATI_INPUT!D22="MC",IFERROR('CALCOLO-Qminimo'!F19,NA()),NA())</f>
        <v>#N/A</v>
      </c>
      <c r="N15" s="33" t="e">
        <f>IF(DATI_INPUT!D22="MC",IFERROR('CALCOLO-Qminimo'!G19,NA()),NA())</f>
        <v>#N/A</v>
      </c>
    </row>
    <row r="16" spans="1:14" ht="15" customHeight="1" x14ac:dyDescent="0.25">
      <c r="E16">
        <v>3.0125999999999999</v>
      </c>
      <c r="F16">
        <v>0.29499999999999998</v>
      </c>
    </row>
    <row r="17" spans="5:6" ht="15" customHeight="1" x14ac:dyDescent="0.25">
      <c r="E17">
        <v>3.3134999999999999</v>
      </c>
      <c r="F17">
        <v>0.29859999999999998</v>
      </c>
    </row>
    <row r="18" spans="5:6" ht="15" customHeight="1" x14ac:dyDescent="0.25">
      <c r="E18">
        <v>3.5886</v>
      </c>
      <c r="F18">
        <v>0.30220000000000002</v>
      </c>
    </row>
    <row r="19" spans="5:6" ht="15" customHeight="1" x14ac:dyDescent="0.25">
      <c r="E19">
        <v>3.6802999999999999</v>
      </c>
      <c r="F19">
        <v>0.3004</v>
      </c>
    </row>
    <row r="20" spans="5:6" ht="15" customHeight="1" x14ac:dyDescent="0.25">
      <c r="E20">
        <v>4.0178000000000003</v>
      </c>
      <c r="F20">
        <v>0.43109999999999998</v>
      </c>
    </row>
    <row r="21" spans="5:6" ht="15" customHeight="1" x14ac:dyDescent="0.25">
      <c r="E21">
        <v>5.0193000000000003</v>
      </c>
      <c r="F21">
        <v>0.432</v>
      </c>
    </row>
    <row r="22" spans="5:6" ht="15" customHeight="1" x14ac:dyDescent="0.25">
      <c r="E22">
        <v>6.0098000000000003</v>
      </c>
      <c r="F22">
        <v>0.44450000000000001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N24"/>
  <sheetViews>
    <sheetView zoomScale="70" zoomScaleNormal="70" workbookViewId="0">
      <selection activeCell="A2" sqref="A2:N2"/>
    </sheetView>
  </sheetViews>
  <sheetFormatPr defaultColWidth="8.7109375" defaultRowHeight="15" x14ac:dyDescent="0.25"/>
  <cols>
    <col min="1" max="8" width="9" customWidth="1"/>
    <col min="9" max="9" width="7" customWidth="1"/>
    <col min="10" max="10" width="16" customWidth="1"/>
    <col min="11" max="14" width="11" customWidth="1"/>
  </cols>
  <sheetData>
    <row r="1" spans="1:14" ht="27.75" customHeight="1" x14ac:dyDescent="0.25">
      <c r="A1" s="58" t="s">
        <v>99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</row>
    <row r="2" spans="1:14" ht="31.5" customHeight="1" x14ac:dyDescent="0.25">
      <c r="A2" s="55" t="s">
        <v>100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</row>
    <row r="4" spans="1:14" ht="15" customHeight="1" x14ac:dyDescent="0.25">
      <c r="A4" s="24" t="s">
        <v>101</v>
      </c>
      <c r="C4" s="24" t="s">
        <v>102</v>
      </c>
      <c r="E4" s="24" t="s">
        <v>84</v>
      </c>
      <c r="G4" s="24" t="s">
        <v>85</v>
      </c>
      <c r="I4" s="25" t="s">
        <v>86</v>
      </c>
    </row>
    <row r="5" spans="1:14" ht="34.5" customHeight="1" x14ac:dyDescent="0.25">
      <c r="A5" s="26" t="s">
        <v>87</v>
      </c>
      <c r="B5" s="26" t="s">
        <v>88</v>
      </c>
      <c r="C5" s="26" t="s">
        <v>87</v>
      </c>
      <c r="D5" s="26" t="s">
        <v>88</v>
      </c>
      <c r="E5" s="26" t="s">
        <v>87</v>
      </c>
      <c r="F5" s="26" t="s">
        <v>88</v>
      </c>
      <c r="G5" s="26" t="s">
        <v>87</v>
      </c>
      <c r="H5" s="26" t="s">
        <v>88</v>
      </c>
      <c r="I5" s="27" t="s">
        <v>23</v>
      </c>
      <c r="J5" s="27" t="s">
        <v>24</v>
      </c>
      <c r="K5" s="27" t="s">
        <v>27</v>
      </c>
      <c r="L5" s="27" t="s">
        <v>89</v>
      </c>
      <c r="M5" s="27" t="s">
        <v>28</v>
      </c>
      <c r="N5" s="27" t="s">
        <v>90</v>
      </c>
    </row>
    <row r="6" spans="1:14" ht="15" customHeight="1" x14ac:dyDescent="0.25">
      <c r="A6">
        <v>1.419</v>
      </c>
      <c r="B6">
        <v>0.21529999999999999</v>
      </c>
      <c r="C6">
        <v>8.1671999999999993</v>
      </c>
      <c r="D6">
        <v>0.88080000000000003</v>
      </c>
      <c r="E6">
        <v>5.1247999999999996</v>
      </c>
      <c r="F6">
        <v>0.79359999999999997</v>
      </c>
      <c r="G6">
        <v>2.4765999999999999</v>
      </c>
      <c r="H6">
        <v>0.26519999999999999</v>
      </c>
      <c r="I6" s="28" t="e">
        <f>IF(DATI_INPUT!D13="RA",DATI_INPUT!A13,NA())</f>
        <v>#N/A</v>
      </c>
      <c r="J6" s="29" t="e">
        <f>IF(DATI_INPUT!D13="RA",DATI_INPUT!B13,NA())</f>
        <v>#N/A</v>
      </c>
      <c r="K6" s="30" t="e">
        <f>IF(DATI_INPUT!D13="RA",IFERROR('CALCOLO-Qmedio'!F10,NA()),NA())</f>
        <v>#N/A</v>
      </c>
      <c r="L6" s="30" t="e">
        <f>IF(DATI_INPUT!D13="RA",IFERROR('CALCOLO-Qmedio'!G10,NA()),NA())</f>
        <v>#N/A</v>
      </c>
      <c r="M6" s="30" t="e">
        <f>IF(DATI_INPUT!D13="RA",IFERROR('CALCOLO-Qminimo'!F10,NA()),NA())</f>
        <v>#N/A</v>
      </c>
      <c r="N6" s="30" t="e">
        <f>IF(DATI_INPUT!D13="RA",IFERROR('CALCOLO-Qminimo'!G10,NA()),NA())</f>
        <v>#N/A</v>
      </c>
    </row>
    <row r="7" spans="1:14" ht="15" customHeight="1" x14ac:dyDescent="0.25">
      <c r="A7">
        <v>8.1671999999999993</v>
      </c>
      <c r="B7">
        <v>1.0842000000000001</v>
      </c>
      <c r="C7">
        <v>1.417</v>
      </c>
      <c r="D7">
        <v>0.17760000000000001</v>
      </c>
      <c r="E7">
        <v>4.8102</v>
      </c>
      <c r="F7">
        <v>0.64070000000000005</v>
      </c>
      <c r="G7">
        <v>2.7067999999999999</v>
      </c>
      <c r="H7">
        <v>0.25330000000000003</v>
      </c>
      <c r="I7" s="31" t="e">
        <f>IF(DATI_INPUT!D14="RA",DATI_INPUT!A14,NA())</f>
        <v>#N/A</v>
      </c>
      <c r="J7" s="32" t="e">
        <f>IF(DATI_INPUT!D14="RA",DATI_INPUT!B14,NA())</f>
        <v>#N/A</v>
      </c>
      <c r="K7" s="33" t="e">
        <f>IF(DATI_INPUT!D14="RA",IFERROR('CALCOLO-Qmedio'!F11,NA()),NA())</f>
        <v>#N/A</v>
      </c>
      <c r="L7" s="33" t="e">
        <f>IF(DATI_INPUT!D14="RA",IFERROR('CALCOLO-Qmedio'!G11,NA()),NA())</f>
        <v>#N/A</v>
      </c>
      <c r="M7" s="33" t="e">
        <f>IF(DATI_INPUT!D14="RA",IFERROR('CALCOLO-Qminimo'!F11,NA()),NA())</f>
        <v>#N/A</v>
      </c>
      <c r="N7" s="33" t="e">
        <f>IF(DATI_INPUT!D14="RA",IFERROR('CALCOLO-Qminimo'!G11,NA()),NA())</f>
        <v>#N/A</v>
      </c>
    </row>
    <row r="8" spans="1:14" ht="15" customHeight="1" x14ac:dyDescent="0.25">
      <c r="E8">
        <v>4.8071000000000002</v>
      </c>
      <c r="F8">
        <v>0.59179999999999999</v>
      </c>
      <c r="G8">
        <v>2.6938</v>
      </c>
      <c r="H8">
        <v>0.17610000000000001</v>
      </c>
      <c r="I8" s="28" t="e">
        <f>IF(DATI_INPUT!D15="RA",DATI_INPUT!A15,NA())</f>
        <v>#N/A</v>
      </c>
      <c r="J8" s="29" t="e">
        <f>IF(DATI_INPUT!D15="RA",DATI_INPUT!B15,NA())</f>
        <v>#N/A</v>
      </c>
      <c r="K8" s="30" t="e">
        <f>IF(DATI_INPUT!D15="RA",IFERROR('CALCOLO-Qmedio'!F12,NA()),NA())</f>
        <v>#N/A</v>
      </c>
      <c r="L8" s="30" t="e">
        <f>IF(DATI_INPUT!D15="RA",IFERROR('CALCOLO-Qmedio'!G12,NA()),NA())</f>
        <v>#N/A</v>
      </c>
      <c r="M8" s="30" t="e">
        <f>IF(DATI_INPUT!D15="RA",IFERROR('CALCOLO-Qminimo'!F12,NA()),NA())</f>
        <v>#N/A</v>
      </c>
      <c r="N8" s="30" t="e">
        <f>IF(DATI_INPUT!D15="RA",IFERROR('CALCOLO-Qminimo'!G12,NA()),NA())</f>
        <v>#N/A</v>
      </c>
    </row>
    <row r="9" spans="1:14" ht="15" customHeight="1" x14ac:dyDescent="0.25">
      <c r="E9">
        <v>5.0065</v>
      </c>
      <c r="F9">
        <v>0.64229999999999998</v>
      </c>
      <c r="G9">
        <v>2.7035</v>
      </c>
      <c r="H9">
        <v>0.13</v>
      </c>
      <c r="I9" s="31" t="e">
        <f>IF(DATI_INPUT!D16="RA",DATI_INPUT!A16,NA())</f>
        <v>#N/A</v>
      </c>
      <c r="J9" s="32" t="e">
        <f>IF(DATI_INPUT!D16="RA",DATI_INPUT!B16,NA())</f>
        <v>#N/A</v>
      </c>
      <c r="K9" s="33" t="e">
        <f>IF(DATI_INPUT!D16="RA",IFERROR('CALCOLO-Qmedio'!F13,NA()),NA())</f>
        <v>#N/A</v>
      </c>
      <c r="L9" s="33" t="e">
        <f>IF(DATI_INPUT!D16="RA",IFERROR('CALCOLO-Qmedio'!G13,NA()),NA())</f>
        <v>#N/A</v>
      </c>
      <c r="M9" s="33" t="e">
        <f>IF(DATI_INPUT!D16="RA",IFERROR('CALCOLO-Qminimo'!F13,NA()),NA())</f>
        <v>#N/A</v>
      </c>
      <c r="N9" s="33" t="e">
        <f>IF(DATI_INPUT!D16="RA",IFERROR('CALCOLO-Qminimo'!G13,NA()),NA())</f>
        <v>#N/A</v>
      </c>
    </row>
    <row r="10" spans="1:14" ht="15" customHeight="1" x14ac:dyDescent="0.25">
      <c r="E10">
        <v>5.0095999999999998</v>
      </c>
      <c r="F10">
        <v>0.59409999999999996</v>
      </c>
      <c r="G10">
        <v>3.4944000000000002</v>
      </c>
      <c r="H10">
        <v>0.11890000000000001</v>
      </c>
      <c r="I10" s="28" t="e">
        <f>IF(DATI_INPUT!D17="RA",DATI_INPUT!A17,NA())</f>
        <v>#N/A</v>
      </c>
      <c r="J10" s="29" t="e">
        <f>IF(DATI_INPUT!D17="RA",DATI_INPUT!B17,NA())</f>
        <v>#N/A</v>
      </c>
      <c r="K10" s="30" t="e">
        <f>IF(DATI_INPUT!D17="RA",IFERROR('CALCOLO-Qmedio'!F14,NA()),NA())</f>
        <v>#N/A</v>
      </c>
      <c r="L10" s="30" t="e">
        <f>IF(DATI_INPUT!D17="RA",IFERROR('CALCOLO-Qmedio'!G14,NA()),NA())</f>
        <v>#N/A</v>
      </c>
      <c r="M10" s="30" t="e">
        <f>IF(DATI_INPUT!D17="RA",IFERROR('CALCOLO-Qminimo'!F14,NA()),NA())</f>
        <v>#N/A</v>
      </c>
      <c r="N10" s="30" t="e">
        <f>IF(DATI_INPUT!D17="RA",IFERROR('CALCOLO-Qminimo'!G14,NA()),NA())</f>
        <v>#N/A</v>
      </c>
    </row>
    <row r="11" spans="1:14" ht="15" customHeight="1" x14ac:dyDescent="0.25">
      <c r="E11">
        <v>5.0126999999999997</v>
      </c>
      <c r="F11">
        <v>0.52759999999999996</v>
      </c>
      <c r="G11">
        <v>4.0810000000000004</v>
      </c>
      <c r="H11">
        <v>0.126</v>
      </c>
      <c r="I11" s="31" t="e">
        <f>IF(DATI_INPUT!D18="RA",DATI_INPUT!A18,NA())</f>
        <v>#N/A</v>
      </c>
      <c r="J11" s="32" t="e">
        <f>IF(DATI_INPUT!D18="RA",DATI_INPUT!B18,NA())</f>
        <v>#N/A</v>
      </c>
      <c r="K11" s="33" t="e">
        <f>IF(DATI_INPUT!D18="RA",IFERROR('CALCOLO-Qmedio'!F15,NA()),NA())</f>
        <v>#N/A</v>
      </c>
      <c r="L11" s="33" t="e">
        <f>IF(DATI_INPUT!D18="RA",IFERROR('CALCOLO-Qmedio'!G15,NA()),NA())</f>
        <v>#N/A</v>
      </c>
      <c r="M11" s="33" t="e">
        <f>IF(DATI_INPUT!D18="RA",IFERROR('CALCOLO-Qminimo'!F15,NA()),NA())</f>
        <v>#N/A</v>
      </c>
      <c r="N11" s="33" t="e">
        <f>IF(DATI_INPUT!D18="RA",IFERROR('CALCOLO-Qminimo'!G15,NA()),NA())</f>
        <v>#N/A</v>
      </c>
    </row>
    <row r="12" spans="1:14" ht="15" customHeight="1" x14ac:dyDescent="0.25">
      <c r="E12">
        <v>5.0126999999999997</v>
      </c>
      <c r="F12">
        <v>0.42970000000000003</v>
      </c>
      <c r="G12">
        <v>4.6158000000000001</v>
      </c>
      <c r="H12">
        <v>0.1467</v>
      </c>
      <c r="I12" s="28">
        <f>IF(DATI_INPUT!D19="RA",DATI_INPUT!A19,NA())</f>
        <v>7</v>
      </c>
      <c r="J12" s="29">
        <f>IF(DATI_INPUT!D19="RA",DATI_INPUT!B19,NA())</f>
        <v>0</v>
      </c>
      <c r="K12" s="30">
        <f>IF(DATI_INPUT!D19="RA",IFERROR('CALCOLO-Qmedio'!F16,NA()),NA())</f>
        <v>2.5</v>
      </c>
      <c r="L12" s="30">
        <f>IF(DATI_INPUT!D19="RA",IFERROR('CALCOLO-Qmedio'!G16,NA()),NA())</f>
        <v>0.3544544088067989</v>
      </c>
      <c r="M12" s="30">
        <f>IF(DATI_INPUT!D19="RA",IFERROR('CALCOLO-Qminimo'!F16,NA()),NA())</f>
        <v>2</v>
      </c>
      <c r="N12" s="30">
        <f>IF(DATI_INPUT!D19="RA",IFERROR('CALCOLO-Qminimo'!G16,NA()),NA())</f>
        <v>0.29007307949334854</v>
      </c>
    </row>
    <row r="13" spans="1:14" ht="15" customHeight="1" x14ac:dyDescent="0.25">
      <c r="E13">
        <v>5.1403999999999996</v>
      </c>
      <c r="F13">
        <v>0.44119999999999998</v>
      </c>
      <c r="G13">
        <v>5.0111999999999997</v>
      </c>
      <c r="H13">
        <v>0.56910000000000005</v>
      </c>
      <c r="I13" s="31">
        <f>IF(DATI_INPUT!D20="RA",DATI_INPUT!A20,NA())</f>
        <v>8</v>
      </c>
      <c r="J13" s="32">
        <f>IF(DATI_INPUT!D20="RA",DATI_INPUT!B20,NA())</f>
        <v>0</v>
      </c>
      <c r="K13" s="33">
        <f>IF(DATI_INPUT!D20="RA",IFERROR('CALCOLO-Qmedio'!F17,NA()),NA())</f>
        <v>3.5</v>
      </c>
      <c r="L13" s="33">
        <f>IF(DATI_INPUT!D20="RA",IFERROR('CALCOLO-Qmedio'!G17,NA()),NA())</f>
        <v>0.48321706743369969</v>
      </c>
      <c r="M13" s="33">
        <f>IF(DATI_INPUT!D20="RA",IFERROR('CALCOLO-Qminimo'!F17,NA()),NA())</f>
        <v>3</v>
      </c>
      <c r="N13" s="33">
        <f>IF(DATI_INPUT!D20="RA",IFERROR('CALCOLO-Qminimo'!G17,NA()),NA())</f>
        <v>0.41883573812024932</v>
      </c>
    </row>
    <row r="14" spans="1:14" ht="15" customHeight="1" x14ac:dyDescent="0.25">
      <c r="E14">
        <v>5.2058</v>
      </c>
      <c r="F14">
        <v>0.59260000000000002</v>
      </c>
      <c r="G14">
        <v>3.4878999999999998</v>
      </c>
      <c r="H14">
        <v>0.42670000000000002</v>
      </c>
      <c r="I14" s="28" t="e">
        <f>IF(DATI_INPUT!D21="RA",DATI_INPUT!A21,NA())</f>
        <v>#N/A</v>
      </c>
      <c r="J14" s="29" t="e">
        <f>IF(DATI_INPUT!D21="RA",DATI_INPUT!B21,NA())</f>
        <v>#N/A</v>
      </c>
      <c r="K14" s="30" t="e">
        <f>IF(DATI_INPUT!D21="RA",IFERROR('CALCOLO-Qmedio'!F18,NA()),NA())</f>
        <v>#N/A</v>
      </c>
      <c r="L14" s="30" t="e">
        <f>IF(DATI_INPUT!D21="RA",IFERROR('CALCOLO-Qmedio'!G18,NA()),NA())</f>
        <v>#N/A</v>
      </c>
      <c r="M14" s="30" t="e">
        <f>IF(DATI_INPUT!D21="RA",IFERROR('CALCOLO-Qminimo'!F18,NA()),NA())</f>
        <v>#N/A</v>
      </c>
      <c r="N14" s="30" t="e">
        <f>IF(DATI_INPUT!D21="RA",IFERROR('CALCOLO-Qminimo'!G18,NA()),NA())</f>
        <v>#N/A</v>
      </c>
    </row>
    <row r="15" spans="1:14" ht="15" customHeight="1" x14ac:dyDescent="0.25">
      <c r="E15">
        <v>5.2058</v>
      </c>
      <c r="F15">
        <v>0.64070000000000005</v>
      </c>
      <c r="G15">
        <v>3.4944000000000002</v>
      </c>
      <c r="H15">
        <v>0.56910000000000005</v>
      </c>
      <c r="I15" s="31" t="e">
        <f>IF(DATI_INPUT!D22="RA",DATI_INPUT!A22,NA())</f>
        <v>#N/A</v>
      </c>
      <c r="J15" s="32" t="e">
        <f>IF(DATI_INPUT!D22="RA",DATI_INPUT!B22,NA())</f>
        <v>#N/A</v>
      </c>
      <c r="K15" s="33" t="e">
        <f>IF(DATI_INPUT!D22="RA",IFERROR('CALCOLO-Qmedio'!F19,NA()),NA())</f>
        <v>#N/A</v>
      </c>
      <c r="L15" s="33" t="e">
        <f>IF(DATI_INPUT!D22="RA",IFERROR('CALCOLO-Qmedio'!G19,NA()),NA())</f>
        <v>#N/A</v>
      </c>
      <c r="M15" s="33" t="e">
        <f>IF(DATI_INPUT!D22="RA",IFERROR('CALCOLO-Qminimo'!F19,NA()),NA())</f>
        <v>#N/A</v>
      </c>
      <c r="N15" s="33" t="e">
        <f>IF(DATI_INPUT!D22="RA",IFERROR('CALCOLO-Qminimo'!G19,NA()),NA())</f>
        <v>#N/A</v>
      </c>
    </row>
    <row r="16" spans="1:14" ht="15" customHeight="1" x14ac:dyDescent="0.25">
      <c r="E16">
        <v>6.0218999999999996</v>
      </c>
      <c r="F16">
        <v>0.78979999999999995</v>
      </c>
    </row>
    <row r="17" spans="5:6" ht="15" customHeight="1" x14ac:dyDescent="0.25">
      <c r="E17">
        <v>6.1962999999999999</v>
      </c>
      <c r="F17">
        <v>0.7661</v>
      </c>
    </row>
    <row r="18" spans="5:6" ht="15" customHeight="1" x14ac:dyDescent="0.25">
      <c r="E18">
        <v>6.1121999999999996</v>
      </c>
      <c r="F18">
        <v>0.50309999999999999</v>
      </c>
    </row>
    <row r="19" spans="5:6" ht="15" customHeight="1" x14ac:dyDescent="0.25">
      <c r="E19">
        <v>6.5358999999999998</v>
      </c>
      <c r="F19">
        <v>0.47939999999999999</v>
      </c>
    </row>
    <row r="20" spans="5:6" ht="15" customHeight="1" x14ac:dyDescent="0.25">
      <c r="E20">
        <v>6.6136999999999997</v>
      </c>
      <c r="F20">
        <v>0.54749999999999999</v>
      </c>
    </row>
    <row r="21" spans="5:6" ht="15" customHeight="1" x14ac:dyDescent="0.25">
      <c r="E21">
        <v>7.0124000000000004</v>
      </c>
      <c r="F21">
        <v>0.4985</v>
      </c>
    </row>
    <row r="22" spans="5:6" ht="15" customHeight="1" x14ac:dyDescent="0.25">
      <c r="E22">
        <v>7.0124000000000004</v>
      </c>
      <c r="F22">
        <v>0.4466</v>
      </c>
    </row>
    <row r="23" spans="5:6" ht="15" customHeight="1" x14ac:dyDescent="0.25">
      <c r="E23">
        <v>7.9931000000000001</v>
      </c>
      <c r="F23">
        <v>1.1836</v>
      </c>
    </row>
    <row r="24" spans="5:6" ht="15" customHeight="1" x14ac:dyDescent="0.25">
      <c r="E24">
        <v>9.9528999999999996</v>
      </c>
      <c r="F24">
        <v>0.222</v>
      </c>
    </row>
  </sheetData>
  <mergeCells count="2">
    <mergeCell ref="A1:N1"/>
    <mergeCell ref="A2:N2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11</vt:i4>
      </vt:variant>
      <vt:variant>
        <vt:lpstr>Grafici</vt:lpstr>
      </vt:variant>
      <vt:variant>
        <vt:i4>4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DB_Abachi</vt:lpstr>
      <vt:lpstr>Credits</vt:lpstr>
      <vt:lpstr>DATI_INPUT</vt:lpstr>
      <vt:lpstr>TAB_ALPHA</vt:lpstr>
      <vt:lpstr>CALCOLO-Qmedio</vt:lpstr>
      <vt:lpstr>CALCOLO-Qminimo</vt:lpstr>
      <vt:lpstr>NTC2018</vt:lpstr>
      <vt:lpstr>ABACO-SG</vt:lpstr>
      <vt:lpstr>ABACO-AL</vt:lpstr>
      <vt:lpstr>ABACO-MC</vt:lpstr>
      <vt:lpstr>ABACO-RA</vt:lpstr>
      <vt:lpstr>Grafico-SG</vt:lpstr>
      <vt:lpstr>Grafico-AL</vt:lpstr>
      <vt:lpstr>Grafico-MC</vt:lpstr>
      <vt:lpstr>Grafico-RA</vt:lpstr>
      <vt:lpstr>'CALCOLO-Qmedio'!Area_stampa</vt:lpstr>
      <vt:lpstr>'CALCOLO-Qminimo'!Area_stampa</vt:lpstr>
      <vt:lpstr>Credits!Area_stampa</vt:lpstr>
      <vt:lpstr>DATI_INPUT!Area_stampa</vt:lpstr>
      <vt:lpstr>'NTC2018'!Area_stampa</vt:lpstr>
      <vt:lpstr>TAB_ALPHA!Area_stampa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5</cp:revision>
  <cp:lastPrinted>2026-05-25T11:01:23Z</cp:lastPrinted>
  <dcterms:created xsi:type="dcterms:W3CDTF">2026-05-12T08:46:05Z</dcterms:created>
  <dcterms:modified xsi:type="dcterms:W3CDTF">2026-05-26T11:02:02Z</dcterms:modified>
  <dc:language>en-US</dc:language>
</cp:coreProperties>
</file>